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original " sheetId="1" r:id="rId1"/>
    <sheet name="Weights" sheetId="2" r:id="rId2"/>
    <sheet name="Public Transport" sheetId="3" r:id="rId3"/>
    <sheet name="Parking" sheetId="4" r:id="rId4"/>
    <sheet name="Warehouse" sheetId="5" r:id="rId5"/>
    <sheet name="Security" sheetId="6" r:id="rId6"/>
    <sheet name="Cost" sheetId="7" r:id="rId7"/>
    <sheet name="Results" sheetId="8" r:id="rId8"/>
    <sheet name="TOPSIS " sheetId="11" r:id="rId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8" l="1"/>
  <c r="D12" i="8"/>
  <c r="D13" i="8"/>
  <c r="D10" i="8"/>
  <c r="E3" i="7"/>
  <c r="C9" i="11" l="1"/>
  <c r="C10" i="11" s="1"/>
  <c r="D9" i="11"/>
  <c r="D10" i="11" s="1"/>
  <c r="E9" i="11"/>
  <c r="E10" i="11" s="1"/>
  <c r="F9" i="11"/>
  <c r="F10" i="11" s="1"/>
  <c r="G9" i="11"/>
  <c r="G10" i="11"/>
  <c r="G15" i="11" s="1"/>
  <c r="G20" i="11" s="1"/>
  <c r="G14" i="11"/>
  <c r="G16" i="11"/>
  <c r="G19" i="11"/>
  <c r="G21" i="11"/>
  <c r="E13" i="11" l="1"/>
  <c r="E18" i="11" s="1"/>
  <c r="E16" i="11"/>
  <c r="E21" i="11" s="1"/>
  <c r="C15" i="11"/>
  <c r="C20" i="11" s="1"/>
  <c r="C16" i="11"/>
  <c r="C21" i="11" s="1"/>
  <c r="C14" i="11"/>
  <c r="C19" i="11" s="1"/>
  <c r="F16" i="11"/>
  <c r="F21" i="11" s="1"/>
  <c r="F13" i="11"/>
  <c r="F18" i="11" s="1"/>
  <c r="F14" i="11"/>
  <c r="F19" i="11" s="1"/>
  <c r="F15" i="11"/>
  <c r="F20" i="11" s="1"/>
  <c r="D14" i="11"/>
  <c r="D19" i="11" s="1"/>
  <c r="D15" i="11"/>
  <c r="D20" i="11" s="1"/>
  <c r="D16" i="11"/>
  <c r="D21" i="11" s="1"/>
  <c r="D13" i="11"/>
  <c r="D18" i="11" s="1"/>
  <c r="E15" i="11"/>
  <c r="E20" i="11" s="1"/>
  <c r="G13" i="11"/>
  <c r="G18" i="11" s="1"/>
  <c r="G25" i="11" s="1"/>
  <c r="C13" i="11"/>
  <c r="E14" i="11"/>
  <c r="E19" i="11" s="1"/>
  <c r="G33" i="11"/>
  <c r="G31" i="11"/>
  <c r="C18" i="11" l="1"/>
  <c r="C31" i="11" s="1"/>
  <c r="E25" i="11"/>
  <c r="E31" i="11"/>
  <c r="E33" i="11"/>
  <c r="D33" i="11"/>
  <c r="D27" i="11"/>
  <c r="E24" i="11"/>
  <c r="F32" i="11"/>
  <c r="F26" i="11"/>
  <c r="E27" i="11"/>
  <c r="D32" i="11"/>
  <c r="D26" i="11"/>
  <c r="F31" i="11"/>
  <c r="F25" i="11"/>
  <c r="G24" i="11"/>
  <c r="G30" i="11"/>
  <c r="C27" i="11"/>
  <c r="D25" i="11"/>
  <c r="D31" i="11"/>
  <c r="G27" i="11"/>
  <c r="G32" i="11"/>
  <c r="F30" i="11"/>
  <c r="F24" i="11"/>
  <c r="E26" i="11"/>
  <c r="E32" i="11"/>
  <c r="D24" i="11"/>
  <c r="D30" i="11"/>
  <c r="C32" i="11"/>
  <c r="E30" i="11"/>
  <c r="G26" i="11"/>
  <c r="F27" i="11"/>
  <c r="F33" i="11"/>
  <c r="C13" i="8"/>
  <c r="C12" i="8"/>
  <c r="C11" i="8"/>
  <c r="C10" i="8"/>
  <c r="D4" i="7"/>
  <c r="D5" i="7"/>
  <c r="D6" i="7"/>
  <c r="D3" i="7"/>
  <c r="G4" i="6"/>
  <c r="E6" i="6"/>
  <c r="D6" i="5"/>
  <c r="D5" i="5"/>
  <c r="G5" i="5" s="1"/>
  <c r="D3" i="5"/>
  <c r="F3" i="5"/>
  <c r="E3" i="5"/>
  <c r="C6" i="6"/>
  <c r="D6" i="6"/>
  <c r="D5" i="6"/>
  <c r="G5" i="6" s="1"/>
  <c r="D3" i="6"/>
  <c r="G3" i="6" s="1"/>
  <c r="G4" i="5"/>
  <c r="G6" i="5"/>
  <c r="G3" i="5"/>
  <c r="G5" i="4"/>
  <c r="D3" i="4"/>
  <c r="G3" i="4" s="1"/>
  <c r="F3" i="4"/>
  <c r="D6" i="4"/>
  <c r="G6" i="4" s="1"/>
  <c r="E6" i="4"/>
  <c r="E4" i="4"/>
  <c r="G4" i="4" s="1"/>
  <c r="E3" i="4"/>
  <c r="G6" i="3"/>
  <c r="E4" i="3"/>
  <c r="C5" i="3"/>
  <c r="C4" i="3"/>
  <c r="F3" i="3"/>
  <c r="G3" i="3" s="1"/>
  <c r="F5" i="3"/>
  <c r="F4" i="3"/>
  <c r="D6" i="2"/>
  <c r="E6" i="2"/>
  <c r="F3" i="2"/>
  <c r="E3" i="2"/>
  <c r="D3" i="2"/>
  <c r="G6" i="2"/>
  <c r="G5" i="2"/>
  <c r="H5" i="2" s="1"/>
  <c r="G4" i="2"/>
  <c r="H4" i="2" s="1"/>
  <c r="G3" i="2"/>
  <c r="H6" i="2"/>
  <c r="H7" i="2"/>
  <c r="C24" i="11" l="1"/>
  <c r="H24" i="11" s="1"/>
  <c r="C33" i="11"/>
  <c r="H33" i="11" s="1"/>
  <c r="H32" i="11"/>
  <c r="C26" i="11"/>
  <c r="H26" i="11" s="1"/>
  <c r="C25" i="11"/>
  <c r="H25" i="11" s="1"/>
  <c r="C30" i="11"/>
  <c r="H30" i="11" s="1"/>
  <c r="H31" i="11"/>
  <c r="H27" i="11"/>
  <c r="G4" i="3"/>
  <c r="G7" i="4"/>
  <c r="H5" i="4" s="1"/>
  <c r="H4" i="4"/>
  <c r="H6" i="4"/>
  <c r="C9" i="4" a="1"/>
  <c r="C9" i="4" s="1"/>
  <c r="C9" i="5" a="1"/>
  <c r="C9" i="5" s="1"/>
  <c r="G7" i="5"/>
  <c r="H4" i="5" s="1"/>
  <c r="H5" i="5"/>
  <c r="H6" i="5"/>
  <c r="H3" i="5"/>
  <c r="D7" i="7"/>
  <c r="E6" i="7" s="1"/>
  <c r="G6" i="6"/>
  <c r="G7" i="6"/>
  <c r="H5" i="6" s="1"/>
  <c r="H3" i="6"/>
  <c r="C9" i="6" a="1"/>
  <c r="C9" i="6" s="1"/>
  <c r="F10" i="4"/>
  <c r="E9" i="4"/>
  <c r="D11" i="4"/>
  <c r="C12" i="4"/>
  <c r="C9" i="3" a="1"/>
  <c r="C9" i="3" s="1"/>
  <c r="G5" i="3"/>
  <c r="G7" i="3" s="1"/>
  <c r="H3" i="2"/>
  <c r="H8" i="2" s="1"/>
  <c r="I6" i="2" s="1"/>
  <c r="C10" i="2" a="1"/>
  <c r="C10" i="2" s="1"/>
  <c r="J5" i="11" l="1"/>
  <c r="J4" i="11"/>
  <c r="J6" i="11"/>
  <c r="J3" i="11"/>
  <c r="F11" i="4"/>
  <c r="D12" i="4"/>
  <c r="E10" i="4"/>
  <c r="C10" i="4"/>
  <c r="D9" i="4"/>
  <c r="F9" i="4"/>
  <c r="E11" i="4"/>
  <c r="C11" i="4"/>
  <c r="D10" i="4"/>
  <c r="F12" i="4"/>
  <c r="E12" i="4"/>
  <c r="H3" i="4"/>
  <c r="D11" i="5"/>
  <c r="F12" i="5"/>
  <c r="E12" i="5"/>
  <c r="C11" i="5"/>
  <c r="D9" i="5"/>
  <c r="F10" i="5"/>
  <c r="E10" i="5"/>
  <c r="G10" i="5" s="1"/>
  <c r="E11" i="5"/>
  <c r="C10" i="5"/>
  <c r="D12" i="5"/>
  <c r="F9" i="5"/>
  <c r="C12" i="5"/>
  <c r="G12" i="5" s="1"/>
  <c r="D10" i="5"/>
  <c r="E9" i="5"/>
  <c r="F11" i="5"/>
  <c r="C15" i="5" a="1"/>
  <c r="H6" i="6"/>
  <c r="H4" i="6"/>
  <c r="E5" i="7"/>
  <c r="E4" i="7"/>
  <c r="E10" i="6"/>
  <c r="D10" i="6"/>
  <c r="F12" i="6"/>
  <c r="E12" i="6"/>
  <c r="D12" i="6"/>
  <c r="C10" i="6"/>
  <c r="G10" i="6" s="1"/>
  <c r="F11" i="6"/>
  <c r="E9" i="6"/>
  <c r="C12" i="6"/>
  <c r="D9" i="6"/>
  <c r="E11" i="6"/>
  <c r="C11" i="6"/>
  <c r="F9" i="6"/>
  <c r="D11" i="6"/>
  <c r="F10" i="6"/>
  <c r="C10" i="3"/>
  <c r="E12" i="3"/>
  <c r="D11" i="3"/>
  <c r="C11" i="3"/>
  <c r="F10" i="3"/>
  <c r="E9" i="3"/>
  <c r="C12" i="3"/>
  <c r="D9" i="3"/>
  <c r="F9" i="3"/>
  <c r="E11" i="3"/>
  <c r="D10" i="3"/>
  <c r="F12" i="3"/>
  <c r="E10" i="3"/>
  <c r="F11" i="3"/>
  <c r="D12" i="3"/>
  <c r="H3" i="3"/>
  <c r="H6" i="3"/>
  <c r="H4" i="3"/>
  <c r="H5" i="3"/>
  <c r="D14" i="2"/>
  <c r="G13" i="2"/>
  <c r="D11" i="2"/>
  <c r="G10" i="2"/>
  <c r="E14" i="2"/>
  <c r="C14" i="2"/>
  <c r="I3" i="2"/>
  <c r="C11" i="2"/>
  <c r="F10" i="2"/>
  <c r="E10" i="2"/>
  <c r="G11" i="2"/>
  <c r="C12" i="2"/>
  <c r="D12" i="2"/>
  <c r="F11" i="2"/>
  <c r="G14" i="2"/>
  <c r="F12" i="2"/>
  <c r="F13" i="2"/>
  <c r="C13" i="2"/>
  <c r="E12" i="2"/>
  <c r="D10" i="2"/>
  <c r="E13" i="2"/>
  <c r="G12" i="2"/>
  <c r="E11" i="2"/>
  <c r="F14" i="2"/>
  <c r="D13" i="2"/>
  <c r="I7" i="2"/>
  <c r="I4" i="2"/>
  <c r="I5" i="2"/>
  <c r="J7" i="11" l="1"/>
  <c r="K5" i="11" s="1"/>
  <c r="C15" i="4" a="1"/>
  <c r="F18" i="4" s="1"/>
  <c r="G12" i="4"/>
  <c r="C15" i="4"/>
  <c r="F17" i="4"/>
  <c r="D17" i="4"/>
  <c r="F16" i="4"/>
  <c r="E17" i="4"/>
  <c r="D16" i="4"/>
  <c r="F15" i="4"/>
  <c r="E15" i="4"/>
  <c r="D15" i="4"/>
  <c r="E18" i="4"/>
  <c r="D18" i="4"/>
  <c r="E16" i="4"/>
  <c r="G9" i="4"/>
  <c r="G11" i="4"/>
  <c r="G10" i="4"/>
  <c r="G11" i="5"/>
  <c r="G9" i="5"/>
  <c r="C15" i="5"/>
  <c r="F16" i="5"/>
  <c r="D18" i="5"/>
  <c r="F18" i="5"/>
  <c r="C18" i="5"/>
  <c r="E17" i="5"/>
  <c r="D16" i="5"/>
  <c r="F15" i="5"/>
  <c r="C16" i="5"/>
  <c r="E15" i="5"/>
  <c r="D15" i="5"/>
  <c r="E16" i="5"/>
  <c r="E18" i="5"/>
  <c r="D17" i="5"/>
  <c r="F17" i="5"/>
  <c r="C17" i="5"/>
  <c r="G13" i="5"/>
  <c r="G9" i="6"/>
  <c r="C15" i="6" a="1"/>
  <c r="F16" i="6" s="1"/>
  <c r="G12" i="6"/>
  <c r="C16" i="6"/>
  <c r="G11" i="6"/>
  <c r="G10" i="3"/>
  <c r="G9" i="3"/>
  <c r="G12" i="3"/>
  <c r="G11" i="3"/>
  <c r="C15" i="3" a="1"/>
  <c r="D16" i="3" s="1"/>
  <c r="H12" i="2"/>
  <c r="H14" i="2"/>
  <c r="H10" i="2"/>
  <c r="H13" i="2"/>
  <c r="C16" i="2" a="1"/>
  <c r="E20" i="2" s="1"/>
  <c r="H11" i="2"/>
  <c r="K4" i="11" l="1"/>
  <c r="K6" i="11"/>
  <c r="K3" i="11"/>
  <c r="C16" i="4"/>
  <c r="C17" i="4"/>
  <c r="C21" i="4" s="1" a="1"/>
  <c r="C18" i="4"/>
  <c r="G18" i="4" s="1"/>
  <c r="G13" i="4"/>
  <c r="H12" i="4" s="1"/>
  <c r="G16" i="4"/>
  <c r="G17" i="4"/>
  <c r="G15" i="4"/>
  <c r="G17" i="5"/>
  <c r="H12" i="5"/>
  <c r="H11" i="5"/>
  <c r="H9" i="5"/>
  <c r="H10" i="5"/>
  <c r="G16" i="5"/>
  <c r="G18" i="5"/>
  <c r="G15" i="5"/>
  <c r="C21" i="5" a="1"/>
  <c r="G13" i="6"/>
  <c r="H12" i="6"/>
  <c r="H10" i="6"/>
  <c r="G16" i="6"/>
  <c r="C18" i="6"/>
  <c r="E18" i="6"/>
  <c r="F17" i="6"/>
  <c r="D16" i="6"/>
  <c r="D18" i="6"/>
  <c r="E16" i="6"/>
  <c r="F15" i="6"/>
  <c r="C17" i="6"/>
  <c r="E17" i="6"/>
  <c r="F18" i="6"/>
  <c r="C15" i="6"/>
  <c r="D15" i="6"/>
  <c r="G15" i="6" s="1"/>
  <c r="D17" i="6"/>
  <c r="E15" i="6"/>
  <c r="H9" i="6"/>
  <c r="C21" i="6" a="1"/>
  <c r="H11" i="6"/>
  <c r="G13" i="3"/>
  <c r="H9" i="3" s="1"/>
  <c r="F15" i="3"/>
  <c r="C18" i="3"/>
  <c r="F16" i="3"/>
  <c r="D18" i="3"/>
  <c r="F18" i="3"/>
  <c r="E15" i="3"/>
  <c r="E18" i="3"/>
  <c r="F17" i="3"/>
  <c r="C16" i="3"/>
  <c r="C15" i="3"/>
  <c r="E17" i="3"/>
  <c r="E16" i="3"/>
  <c r="D15" i="3"/>
  <c r="D17" i="3"/>
  <c r="C17" i="3"/>
  <c r="H11" i="3"/>
  <c r="C16" i="2"/>
  <c r="E18" i="2"/>
  <c r="G18" i="2"/>
  <c r="G20" i="2"/>
  <c r="G17" i="2"/>
  <c r="F20" i="2"/>
  <c r="F19" i="2"/>
  <c r="E16" i="2"/>
  <c r="D20" i="2"/>
  <c r="D17" i="2"/>
  <c r="D18" i="2"/>
  <c r="C18" i="2"/>
  <c r="F18" i="2"/>
  <c r="H15" i="2"/>
  <c r="I12" i="2" s="1"/>
  <c r="F16" i="2"/>
  <c r="G19" i="2"/>
  <c r="C17" i="2"/>
  <c r="D16" i="2"/>
  <c r="C20" i="2"/>
  <c r="E17" i="2"/>
  <c r="G16" i="2"/>
  <c r="F17" i="2"/>
  <c r="C19" i="2"/>
  <c r="D19" i="2"/>
  <c r="E19" i="2"/>
  <c r="G15" i="3" l="1"/>
  <c r="G19" i="4"/>
  <c r="H15" i="4" s="1"/>
  <c r="H16" i="4"/>
  <c r="H17" i="4"/>
  <c r="H11" i="4"/>
  <c r="H9" i="4"/>
  <c r="C21" i="4"/>
  <c r="E23" i="4"/>
  <c r="D22" i="4"/>
  <c r="E21" i="4"/>
  <c r="F24" i="4"/>
  <c r="E22" i="4"/>
  <c r="D21" i="4"/>
  <c r="C24" i="4"/>
  <c r="F22" i="4"/>
  <c r="D24" i="4"/>
  <c r="F23" i="4"/>
  <c r="C23" i="4"/>
  <c r="E24" i="4"/>
  <c r="D23" i="4"/>
  <c r="F21" i="4"/>
  <c r="C22" i="4"/>
  <c r="H18" i="4"/>
  <c r="H10" i="4"/>
  <c r="G19" i="5"/>
  <c r="H17" i="5" s="1"/>
  <c r="H15" i="5"/>
  <c r="H18" i="5"/>
  <c r="H16" i="5"/>
  <c r="C21" i="5"/>
  <c r="E24" i="5"/>
  <c r="D23" i="5"/>
  <c r="E22" i="5"/>
  <c r="F22" i="5"/>
  <c r="E21" i="5"/>
  <c r="D21" i="5"/>
  <c r="C23" i="5"/>
  <c r="G23" i="5" s="1"/>
  <c r="F21" i="5"/>
  <c r="D24" i="5"/>
  <c r="F24" i="5"/>
  <c r="C22" i="5"/>
  <c r="G22" i="5" s="1"/>
  <c r="F23" i="5"/>
  <c r="E23" i="5"/>
  <c r="D22" i="5"/>
  <c r="C24" i="5"/>
  <c r="G24" i="5" s="1"/>
  <c r="G17" i="6"/>
  <c r="G18" i="6"/>
  <c r="G19" i="6"/>
  <c r="D21" i="6"/>
  <c r="F22" i="6"/>
  <c r="F24" i="6"/>
  <c r="F21" i="6"/>
  <c r="F23" i="6"/>
  <c r="C24" i="6"/>
  <c r="C21" i="6"/>
  <c r="C23" i="6"/>
  <c r="C22" i="6"/>
  <c r="E21" i="6"/>
  <c r="E24" i="6"/>
  <c r="D24" i="6"/>
  <c r="E23" i="6"/>
  <c r="D23" i="6"/>
  <c r="E22" i="6"/>
  <c r="D22" i="6"/>
  <c r="C21" i="3" a="1"/>
  <c r="C22" i="3" s="1"/>
  <c r="G16" i="3"/>
  <c r="H12" i="3"/>
  <c r="H10" i="3"/>
  <c r="G18" i="3"/>
  <c r="G17" i="3"/>
  <c r="C23" i="2" a="1"/>
  <c r="G25" i="2" s="1"/>
  <c r="H17" i="2"/>
  <c r="H16" i="2"/>
  <c r="H18" i="2"/>
  <c r="I14" i="2"/>
  <c r="I10" i="2"/>
  <c r="I13" i="2"/>
  <c r="I11" i="2"/>
  <c r="H19" i="2"/>
  <c r="H20" i="2"/>
  <c r="C27" i="4" l="1" a="1"/>
  <c r="G21" i="4"/>
  <c r="G23" i="4"/>
  <c r="G22" i="4"/>
  <c r="G24" i="4"/>
  <c r="C27" i="5" a="1"/>
  <c r="G21" i="5"/>
  <c r="G23" i="6"/>
  <c r="H16" i="6"/>
  <c r="H18" i="6"/>
  <c r="G21" i="6"/>
  <c r="C27" i="6" a="1"/>
  <c r="H15" i="6"/>
  <c r="G24" i="6"/>
  <c r="H17" i="6"/>
  <c r="G22" i="6"/>
  <c r="F23" i="3"/>
  <c r="C23" i="3"/>
  <c r="F24" i="3"/>
  <c r="D24" i="3"/>
  <c r="F22" i="3"/>
  <c r="D23" i="3"/>
  <c r="E24" i="3"/>
  <c r="D21" i="3"/>
  <c r="C27" i="3" s="1" a="1"/>
  <c r="C21" i="3"/>
  <c r="E23" i="3"/>
  <c r="D22" i="3"/>
  <c r="E22" i="3"/>
  <c r="F21" i="3"/>
  <c r="C24" i="3"/>
  <c r="E21" i="3"/>
  <c r="G19" i="3"/>
  <c r="H18" i="3" s="1"/>
  <c r="G23" i="3"/>
  <c r="F26" i="2"/>
  <c r="C27" i="2"/>
  <c r="D26" i="2"/>
  <c r="C25" i="2"/>
  <c r="F25" i="2"/>
  <c r="F27" i="2"/>
  <c r="G23" i="2"/>
  <c r="E25" i="2"/>
  <c r="F23" i="2"/>
  <c r="D25" i="2"/>
  <c r="D24" i="2"/>
  <c r="D27" i="2"/>
  <c r="C23" i="2"/>
  <c r="E26" i="2"/>
  <c r="G27" i="2"/>
  <c r="E24" i="2"/>
  <c r="C26" i="2"/>
  <c r="E23" i="2"/>
  <c r="C24" i="2"/>
  <c r="G24" i="2"/>
  <c r="D23" i="2"/>
  <c r="G26" i="2"/>
  <c r="F24" i="2"/>
  <c r="E27" i="2"/>
  <c r="H21" i="2"/>
  <c r="I19" i="2" s="1"/>
  <c r="G24" i="3" l="1"/>
  <c r="H15" i="3"/>
  <c r="H16" i="3"/>
  <c r="G21" i="3"/>
  <c r="G25" i="3" s="1"/>
  <c r="G22" i="3"/>
  <c r="G25" i="4"/>
  <c r="H22" i="4" s="1"/>
  <c r="C27" i="4"/>
  <c r="F28" i="4"/>
  <c r="E28" i="4"/>
  <c r="D28" i="4"/>
  <c r="C28" i="4"/>
  <c r="F27" i="4"/>
  <c r="E27" i="4"/>
  <c r="D27" i="4"/>
  <c r="F30" i="4"/>
  <c r="E30" i="4"/>
  <c r="D30" i="4"/>
  <c r="C30" i="4"/>
  <c r="F29" i="4"/>
  <c r="E29" i="4"/>
  <c r="D29" i="4"/>
  <c r="C29" i="4"/>
  <c r="C27" i="5"/>
  <c r="E30" i="5"/>
  <c r="D29" i="5"/>
  <c r="F28" i="5"/>
  <c r="C28" i="5"/>
  <c r="F29" i="5"/>
  <c r="E27" i="5"/>
  <c r="D27" i="5"/>
  <c r="C30" i="5"/>
  <c r="F27" i="5"/>
  <c r="D30" i="5"/>
  <c r="F30" i="5"/>
  <c r="C29" i="5"/>
  <c r="E29" i="5"/>
  <c r="D28" i="5"/>
  <c r="E28" i="5"/>
  <c r="G25" i="5"/>
  <c r="H21" i="5" s="1"/>
  <c r="C27" i="6"/>
  <c r="F28" i="6"/>
  <c r="F30" i="6"/>
  <c r="F27" i="6"/>
  <c r="F29" i="6"/>
  <c r="D30" i="6"/>
  <c r="E30" i="6"/>
  <c r="C28" i="6"/>
  <c r="D29" i="6"/>
  <c r="E28" i="6"/>
  <c r="E29" i="6"/>
  <c r="D28" i="6"/>
  <c r="C30" i="6"/>
  <c r="E27" i="6"/>
  <c r="D27" i="6"/>
  <c r="C29" i="6"/>
  <c r="G25" i="6"/>
  <c r="H23" i="6" s="1"/>
  <c r="H17" i="3"/>
  <c r="C29" i="3"/>
  <c r="D27" i="3"/>
  <c r="E28" i="3"/>
  <c r="C27" i="3"/>
  <c r="C30" i="3"/>
  <c r="D28" i="3"/>
  <c r="D29" i="3"/>
  <c r="D30" i="3"/>
  <c r="E27" i="3"/>
  <c r="E29" i="3"/>
  <c r="E30" i="3"/>
  <c r="C28" i="3"/>
  <c r="F30" i="3"/>
  <c r="F27" i="3"/>
  <c r="F28" i="3"/>
  <c r="F29" i="3"/>
  <c r="C29" i="2" a="1"/>
  <c r="H24" i="2"/>
  <c r="H27" i="2"/>
  <c r="H23" i="2"/>
  <c r="H25" i="2"/>
  <c r="H26" i="2"/>
  <c r="I20" i="2"/>
  <c r="I16" i="2"/>
  <c r="I18" i="2"/>
  <c r="I17" i="2"/>
  <c r="H23" i="3" l="1"/>
  <c r="H24" i="3"/>
  <c r="H22" i="3"/>
  <c r="H21" i="3"/>
  <c r="G28" i="4"/>
  <c r="G27" i="4"/>
  <c r="H23" i="4"/>
  <c r="H21" i="4"/>
  <c r="G29" i="4"/>
  <c r="G30" i="4"/>
  <c r="H24" i="4"/>
  <c r="H22" i="5"/>
  <c r="H23" i="5"/>
  <c r="H24" i="5"/>
  <c r="G29" i="5"/>
  <c r="G30" i="5"/>
  <c r="G28" i="5"/>
  <c r="G27" i="5"/>
  <c r="H21" i="6"/>
  <c r="G30" i="6"/>
  <c r="G27" i="6"/>
  <c r="G29" i="6"/>
  <c r="G28" i="6"/>
  <c r="H22" i="6"/>
  <c r="H24" i="6"/>
  <c r="G27" i="3"/>
  <c r="G28" i="3"/>
  <c r="G30" i="3"/>
  <c r="G29" i="3"/>
  <c r="H28" i="2"/>
  <c r="I27" i="2" s="1"/>
  <c r="C29" i="2"/>
  <c r="C32" i="2"/>
  <c r="E29" i="2"/>
  <c r="G30" i="2"/>
  <c r="G32" i="2"/>
  <c r="G31" i="2"/>
  <c r="D32" i="2"/>
  <c r="F29" i="2"/>
  <c r="D33" i="2"/>
  <c r="C30" i="2"/>
  <c r="D31" i="2"/>
  <c r="D30" i="2"/>
  <c r="E31" i="2"/>
  <c r="F32" i="2"/>
  <c r="E32" i="2"/>
  <c r="D29" i="2"/>
  <c r="E30" i="2"/>
  <c r="G33" i="2"/>
  <c r="F30" i="2"/>
  <c r="C31" i="2"/>
  <c r="F31" i="2"/>
  <c r="F33" i="2"/>
  <c r="E33" i="2"/>
  <c r="C33" i="2"/>
  <c r="G29" i="2"/>
  <c r="H27" i="4" l="1"/>
  <c r="H29" i="4"/>
  <c r="G31" i="4"/>
  <c r="H28" i="4" s="1"/>
  <c r="G31" i="5"/>
  <c r="H28" i="5" s="1"/>
  <c r="G31" i="6"/>
  <c r="H30" i="6" s="1"/>
  <c r="G31" i="3"/>
  <c r="H30" i="3" s="1"/>
  <c r="I24" i="2"/>
  <c r="I26" i="2"/>
  <c r="I23" i="2"/>
  <c r="I25" i="2"/>
  <c r="H30" i="2"/>
  <c r="H32" i="2"/>
  <c r="H29" i="2"/>
  <c r="H33" i="2"/>
  <c r="H31" i="2"/>
  <c r="H30" i="4" l="1"/>
  <c r="I29" i="2"/>
  <c r="H27" i="5"/>
  <c r="H29" i="5"/>
  <c r="H30" i="5"/>
  <c r="H29" i="6"/>
  <c r="H27" i="6"/>
  <c r="H28" i="6"/>
  <c r="H28" i="3"/>
  <c r="H27" i="3"/>
  <c r="H29" i="3"/>
  <c r="H34" i="2"/>
  <c r="I30" i="2" s="1"/>
  <c r="I33" i="2" l="1"/>
  <c r="I31" i="2"/>
  <c r="I32" i="2"/>
</calcChain>
</file>

<file path=xl/sharedStrings.xml><?xml version="1.0" encoding="utf-8"?>
<sst xmlns="http://schemas.openxmlformats.org/spreadsheetml/2006/main" count="387" uniqueCount="51">
  <si>
    <t>C1(Public Transport)</t>
  </si>
  <si>
    <t>C2(Parking)</t>
  </si>
  <si>
    <t>C3(Warehouse space)</t>
  </si>
  <si>
    <t>C4(Security)</t>
  </si>
  <si>
    <t>C5(Cost)</t>
  </si>
  <si>
    <t>A1(centre)</t>
  </si>
  <si>
    <t>A2(Suburb)</t>
  </si>
  <si>
    <t>A3(Shared)</t>
  </si>
  <si>
    <t>A4(Extend)</t>
  </si>
  <si>
    <t>Excellent 
bus and rail 
links</t>
  </si>
  <si>
    <t>Good bus 
links but no 
rail link</t>
  </si>
  <si>
    <t>Poor bus 
links but 
good rail 
link</t>
  </si>
  <si>
    <t>Good bus 
and rail links</t>
  </si>
  <si>
    <t>Poor</t>
  </si>
  <si>
    <t>Good</t>
  </si>
  <si>
    <t>Excellent</t>
  </si>
  <si>
    <t>Moderate</t>
  </si>
  <si>
    <t>***</t>
  </si>
  <si>
    <t>****</t>
  </si>
  <si>
    <t>**</t>
  </si>
  <si>
    <t>Weights</t>
  </si>
  <si>
    <t>Cost</t>
  </si>
  <si>
    <t>Normalised</t>
  </si>
  <si>
    <t>Reciprocal</t>
  </si>
  <si>
    <t>Sum Sq</t>
  </si>
  <si>
    <t>root sum sq</t>
  </si>
  <si>
    <t>PIS</t>
  </si>
  <si>
    <t>si*</t>
  </si>
  <si>
    <t>si-</t>
  </si>
  <si>
    <t>NIS</t>
  </si>
  <si>
    <t>Weights (GM)</t>
  </si>
  <si>
    <t>Weights (EV)</t>
  </si>
  <si>
    <t>GM</t>
  </si>
  <si>
    <t>GEOMETRIC MEAN</t>
  </si>
  <si>
    <t>EV</t>
  </si>
  <si>
    <t>EIGEN VECTOR</t>
  </si>
  <si>
    <t>Criteria</t>
  </si>
  <si>
    <t>Results</t>
  </si>
  <si>
    <t>Alternative</t>
  </si>
  <si>
    <t>Alternatives</t>
  </si>
  <si>
    <t>Values(security)</t>
  </si>
  <si>
    <t>Values(GM)</t>
  </si>
  <si>
    <t>Values(EV)</t>
  </si>
  <si>
    <t>Values(Warehouse space)</t>
  </si>
  <si>
    <t>Values(Parking)</t>
  </si>
  <si>
    <t>Values(GM</t>
  </si>
  <si>
    <t>Values(Public Transport)</t>
  </si>
  <si>
    <t>Minimum Value of the column</t>
  </si>
  <si>
    <t>Maximum value of the column</t>
  </si>
  <si>
    <t>Result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</si>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</sst>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family val="2"/>
      <scheme val="minor"/>
    </font>
    <font>
      <sz val="11"/>
      <color rgb="FFFF0000"/>
      <name val="Calibri"/>
      <family val="2"/>
      <scheme val="minor"/>
    </font>
  </fonts>
  <fills count="19">
    <fill>
      <patternFill patternType="none"/>
    </fill>
    <fill>
      <patternFill patternType="gray125"/>
    </fill>
    <fill>
      <patternFill patternType="solid">
        <fgColor rgb="FFFF0000"/>
        <bgColor indexed="64"/>
      </patternFill>
    </fill>
    <fill>
      <patternFill patternType="solid">
        <fgColor theme="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theme="4" tint="0.59999389629810485"/>
      </patternFill>
    </fill>
    <fill>
      <patternFill patternType="solid">
        <fgColor theme="9" tint="0.39997558519241921"/>
        <bgColor theme="4" tint="0.59999389629810485"/>
      </patternFill>
    </fill>
    <fill>
      <patternFill patternType="solid">
        <fgColor theme="9" tint="0.39997558519241921"/>
        <bgColor theme="4" tint="0.79998168889431442"/>
      </patternFill>
    </fill>
    <fill>
      <patternFill patternType="solid">
        <fgColor rgb="FFC00000"/>
        <bgColor indexed="64"/>
      </patternFill>
    </fill>
    <fill>
      <patternFill patternType="solid">
        <fgColor rgb="FF7030A0"/>
        <bgColor indexed="64"/>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left>
      <right/>
      <top style="thin">
        <color theme="4"/>
      </top>
      <bottom style="thin">
        <color theme="4"/>
      </bottom>
      <diagonal/>
    </border>
    <border>
      <left style="thin">
        <color theme="4"/>
      </left>
      <right/>
      <top style="thin">
        <color theme="4"/>
      </top>
      <bottom/>
      <diagonal/>
    </border>
    <border>
      <left/>
      <right/>
      <top style="thin">
        <color theme="4"/>
      </top>
      <bottom style="thin">
        <color theme="4"/>
      </bottom>
      <diagonal/>
    </border>
    <border>
      <left/>
      <right/>
      <top style="thin">
        <color theme="4"/>
      </top>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0"/>
      </left>
      <right style="thin">
        <color theme="4" tint="0.39997558519241921"/>
      </right>
      <top style="thin">
        <color theme="4" tint="0.39997558519241921"/>
      </top>
      <bottom style="thin">
        <color theme="4" tint="0.39997558519241921"/>
      </bottom>
      <diagonal/>
    </border>
    <border>
      <left style="thin">
        <color theme="0"/>
      </left>
      <right style="thin">
        <color theme="4" tint="0.39997558519241921"/>
      </right>
      <top style="thin">
        <color theme="4" tint="0.39997558519241921"/>
      </top>
      <bottom/>
      <diagonal/>
    </border>
    <border>
      <left style="thin">
        <color theme="0"/>
      </left>
      <right/>
      <top/>
      <bottom/>
      <diagonal/>
    </border>
    <border>
      <left style="thin">
        <color theme="0"/>
      </left>
      <right/>
      <top style="thin">
        <color theme="0"/>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61">
    <xf numFmtId="0" fontId="0" fillId="0" borderId="0" xfId="0"/>
    <xf numFmtId="3" fontId="0" fillId="0" borderId="0" xfId="0" applyNumberFormat="1"/>
    <xf numFmtId="0" fontId="0" fillId="3" borderId="0" xfId="0" applyFill="1"/>
    <xf numFmtId="0" fontId="0" fillId="5" borderId="1" xfId="0" applyFont="1" applyFill="1" applyBorder="1"/>
    <xf numFmtId="0" fontId="0" fillId="5" borderId="2" xfId="0" applyFont="1" applyFill="1" applyBorder="1"/>
    <xf numFmtId="0" fontId="0" fillId="5" borderId="3" xfId="0" applyFont="1" applyFill="1" applyBorder="1"/>
    <xf numFmtId="0" fontId="0" fillId="0" borderId="1" xfId="0" applyFont="1" applyBorder="1"/>
    <xf numFmtId="0" fontId="0" fillId="0" borderId="2" xfId="0" applyFont="1" applyBorder="1"/>
    <xf numFmtId="0" fontId="0" fillId="0" borderId="3" xfId="0" applyFont="1" applyBorder="1"/>
    <xf numFmtId="0" fontId="1" fillId="4" borderId="4" xfId="0" applyFont="1" applyFill="1" applyBorder="1"/>
    <xf numFmtId="0" fontId="1" fillId="4" borderId="5" xfId="0" applyFont="1" applyFill="1" applyBorder="1"/>
    <xf numFmtId="0" fontId="1" fillId="4" borderId="6" xfId="0" applyFont="1" applyFill="1" applyBorder="1"/>
    <xf numFmtId="0" fontId="0" fillId="5" borderId="4" xfId="0" applyFont="1" applyFill="1" applyBorder="1"/>
    <xf numFmtId="0" fontId="0" fillId="5" borderId="5" xfId="0" applyFont="1" applyFill="1" applyBorder="1"/>
    <xf numFmtId="0" fontId="0" fillId="5" borderId="6" xfId="0" applyFont="1" applyFill="1" applyBorder="1"/>
    <xf numFmtId="0" fontId="0" fillId="0" borderId="4" xfId="0" applyFont="1" applyBorder="1"/>
    <xf numFmtId="0" fontId="0" fillId="0" borderId="5" xfId="0" applyFont="1" applyBorder="1"/>
    <xf numFmtId="0" fontId="0" fillId="0" borderId="6"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0" borderId="7" xfId="0" applyFont="1" applyBorder="1"/>
    <xf numFmtId="0" fontId="0" fillId="0" borderId="9" xfId="0" applyFont="1" applyBorder="1"/>
    <xf numFmtId="0" fontId="0" fillId="0" borderId="11" xfId="0" applyFont="1" applyBorder="1"/>
    <xf numFmtId="0" fontId="1" fillId="4" borderId="8" xfId="0" applyFont="1" applyFill="1" applyBorder="1"/>
    <xf numFmtId="0" fontId="1" fillId="4" borderId="10" xfId="0" applyFont="1" applyFill="1" applyBorder="1"/>
    <xf numFmtId="0" fontId="1" fillId="4" borderId="12" xfId="0" applyFont="1" applyFill="1" applyBorder="1"/>
    <xf numFmtId="0" fontId="0" fillId="0" borderId="8" xfId="0" applyFont="1" applyBorder="1"/>
    <xf numFmtId="0" fontId="0" fillId="0" borderId="10" xfId="0" applyFont="1" applyBorder="1"/>
    <xf numFmtId="0" fontId="0" fillId="0" borderId="12" xfId="0" applyFont="1" applyBorder="1"/>
    <xf numFmtId="3" fontId="0" fillId="0" borderId="9" xfId="0" applyNumberFormat="1" applyFont="1" applyBorder="1"/>
    <xf numFmtId="3" fontId="0" fillId="0" borderId="10" xfId="0" applyNumberFormat="1" applyFont="1" applyBorder="1"/>
    <xf numFmtId="0" fontId="0" fillId="12" borderId="0" xfId="0" applyFill="1"/>
    <xf numFmtId="0" fontId="1" fillId="4" borderId="0" xfId="0" applyFont="1" applyFill="1" applyBorder="1"/>
    <xf numFmtId="0" fontId="0" fillId="5" borderId="8" xfId="0" applyFont="1" applyFill="1" applyBorder="1"/>
    <xf numFmtId="0" fontId="0" fillId="5" borderId="10" xfId="0" applyFont="1" applyFill="1" applyBorder="1"/>
    <xf numFmtId="0" fontId="0" fillId="5" borderId="12" xfId="0" applyFont="1" applyFill="1" applyBorder="1"/>
    <xf numFmtId="0" fontId="1" fillId="4" borderId="14" xfId="0" applyFont="1" applyFill="1" applyBorder="1"/>
    <xf numFmtId="0" fontId="0" fillId="8" borderId="14" xfId="0" applyFont="1" applyFill="1" applyBorder="1"/>
    <xf numFmtId="0" fontId="0" fillId="8" borderId="13" xfId="0" applyFont="1" applyFill="1" applyBorder="1"/>
    <xf numFmtId="0" fontId="1" fillId="4" borderId="15" xfId="0" applyFont="1" applyFill="1" applyBorder="1"/>
    <xf numFmtId="0" fontId="0" fillId="13" borderId="0" xfId="0" applyFill="1"/>
    <xf numFmtId="0" fontId="0" fillId="14" borderId="16" xfId="0" applyFont="1" applyFill="1" applyBorder="1"/>
    <xf numFmtId="0" fontId="0" fillId="5" borderId="19" xfId="0" applyFont="1" applyFill="1" applyBorder="1"/>
    <xf numFmtId="0" fontId="0" fillId="5" borderId="16" xfId="0" applyFont="1" applyFill="1" applyBorder="1"/>
    <xf numFmtId="0" fontId="0" fillId="14" borderId="19" xfId="0" applyFont="1" applyFill="1" applyBorder="1"/>
    <xf numFmtId="0" fontId="0" fillId="10" borderId="18" xfId="0" applyFont="1" applyFill="1" applyBorder="1"/>
    <xf numFmtId="0" fontId="0" fillId="15" borderId="17" xfId="0" applyFont="1" applyFill="1" applyBorder="1"/>
    <xf numFmtId="0" fontId="0" fillId="16" borderId="4" xfId="0" applyFont="1" applyFill="1" applyBorder="1"/>
    <xf numFmtId="0" fontId="2" fillId="2" borderId="0" xfId="0" applyFont="1" applyFill="1"/>
    <xf numFmtId="0" fontId="0" fillId="18" borderId="0" xfId="0" applyFill="1"/>
    <xf numFmtId="0" fontId="0" fillId="17" borderId="0" xfId="0" applyFill="1"/>
    <xf numFmtId="10" fontId="0" fillId="0" borderId="0" xfId="0" applyNumberFormat="1"/>
    <xf numFmtId="3" fontId="0" fillId="5" borderId="2" xfId="0" applyNumberFormat="1" applyFont="1" applyFill="1" applyBorder="1"/>
    <xf numFmtId="3" fontId="0" fillId="5" borderId="3" xfId="0" applyNumberFormat="1" applyFont="1" applyFill="1" applyBorder="1"/>
    <xf numFmtId="0" fontId="0" fillId="5" borderId="5" xfId="0" applyFont="1" applyFill="1" applyBorder="1" applyAlignment="1">
      <alignment wrapText="1"/>
    </xf>
    <xf numFmtId="0" fontId="0" fillId="5" borderId="6" xfId="0" applyFont="1" applyFill="1" applyBorder="1" applyAlignment="1">
      <alignment wrapText="1"/>
    </xf>
    <xf numFmtId="0" fontId="0" fillId="0" borderId="5" xfId="0" applyFont="1" applyBorder="1" applyAlignment="1">
      <alignment wrapText="1"/>
    </xf>
  </cellXfs>
  <cellStyles count="1">
    <cellStyle name="Normal" xfId="0" builtinId="0"/>
  </cellStyles>
  <dxfs count="13">
    <dxf>
      <fill>
        <patternFill>
          <bgColor theme="9"/>
        </patternFill>
      </fill>
    </dxf>
    <dxf>
      <fill>
        <patternFill>
          <bgColor rgb="FFFF0000"/>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AHP Result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Results!$B$10:$B$13</c:f>
              <c:strCache>
                <c:ptCount val="4"/>
                <c:pt idx="0">
                  <c:v>A1(centre)</c:v>
                </c:pt>
                <c:pt idx="1">
                  <c:v>A2(Suburb)</c:v>
                </c:pt>
                <c:pt idx="2">
                  <c:v>A3(Shared)</c:v>
                </c:pt>
                <c:pt idx="3">
                  <c:v>A4(Extend)</c:v>
                </c:pt>
              </c:strCache>
            </c:strRef>
          </c:cat>
          <c:val>
            <c:numRef>
              <c:f>Results!$D$10:$D$13</c:f>
              <c:numCache>
                <c:formatCode>0.00%</c:formatCode>
                <c:ptCount val="4"/>
                <c:pt idx="0">
                  <c:v>0.11424650547702869</c:v>
                </c:pt>
                <c:pt idx="1">
                  <c:v>0.29938988293649682</c:v>
                </c:pt>
                <c:pt idx="2">
                  <c:v>0.31360467078193183</c:v>
                </c:pt>
                <c:pt idx="3">
                  <c:v>0.27275894080454272</c:v>
                </c:pt>
              </c:numCache>
            </c:numRef>
          </c:val>
          <c:extLst>
            <c:ext xmlns:c16="http://schemas.microsoft.com/office/drawing/2014/chart" uri="{C3380CC4-5D6E-409C-BE32-E72D297353CC}">
              <c16:uniqueId val="{00000000-5BF0-48A6-8DE5-6A88FE14BBD5}"/>
            </c:ext>
          </c:extLst>
        </c:ser>
        <c:dLbls>
          <c:dLblPos val="inEnd"/>
          <c:showLegendKey val="0"/>
          <c:showVal val="1"/>
          <c:showCatName val="0"/>
          <c:showSerName val="0"/>
          <c:showPercent val="0"/>
          <c:showBubbleSize val="0"/>
        </c:dLbls>
        <c:gapWidth val="355"/>
        <c:overlap val="-70"/>
        <c:axId val="904677263"/>
        <c:axId val="904677679"/>
      </c:barChart>
      <c:catAx>
        <c:axId val="90467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77679"/>
        <c:crosses val="autoZero"/>
        <c:auto val="1"/>
        <c:lblAlgn val="ctr"/>
        <c:lblOffset val="100"/>
        <c:noMultiLvlLbl val="0"/>
      </c:catAx>
      <c:valAx>
        <c:axId val="9046776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77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33967095576468"/>
          <c:y val="0.17171296296296298"/>
          <c:w val="0.8418013358086337"/>
          <c:h val="0.72088764946048411"/>
        </c:manualLayout>
      </c:layout>
      <c:barChart>
        <c:barDir val="bar"/>
        <c:grouping val="clustered"/>
        <c:varyColors val="0"/>
        <c:ser>
          <c:idx val="0"/>
          <c:order val="0"/>
          <c:spPr>
            <a:solidFill>
              <a:schemeClr val="accent1"/>
            </a:solidFill>
            <a:ln>
              <a:noFill/>
            </a:ln>
            <a:effectLst/>
          </c:spPr>
          <c:invertIfNegative val="0"/>
          <c:cat>
            <c:strRef>
              <c:f>'TOPSIS '!$I$3:$I$6</c:f>
              <c:strCache>
                <c:ptCount val="4"/>
                <c:pt idx="0">
                  <c:v>A1(centre)</c:v>
                </c:pt>
                <c:pt idx="1">
                  <c:v>A2(Suburb)</c:v>
                </c:pt>
                <c:pt idx="2">
                  <c:v>A3(Shared)</c:v>
                </c:pt>
                <c:pt idx="3">
                  <c:v>A4(Extend)</c:v>
                </c:pt>
              </c:strCache>
            </c:strRef>
          </c:cat>
          <c:val>
            <c:numRef>
              <c:f>'TOPSIS '!$J$3:$J$6</c:f>
              <c:numCache>
                <c:formatCode>General</c:formatCode>
                <c:ptCount val="4"/>
                <c:pt idx="0">
                  <c:v>0.14497814412209564</c:v>
                </c:pt>
                <c:pt idx="1">
                  <c:v>0.51027247236790085</c:v>
                </c:pt>
                <c:pt idx="2">
                  <c:v>0.79780083600790697</c:v>
                </c:pt>
                <c:pt idx="3">
                  <c:v>0.70909247857392899</c:v>
                </c:pt>
              </c:numCache>
            </c:numRef>
          </c:val>
          <c:extLst>
            <c:ext xmlns:c16="http://schemas.microsoft.com/office/drawing/2014/chart" uri="{C3380CC4-5D6E-409C-BE32-E72D297353CC}">
              <c16:uniqueId val="{00000000-4A3E-4446-B915-2646E35E5595}"/>
            </c:ext>
          </c:extLst>
        </c:ser>
        <c:dLbls>
          <c:showLegendKey val="0"/>
          <c:showVal val="0"/>
          <c:showCatName val="0"/>
          <c:showSerName val="0"/>
          <c:showPercent val="0"/>
          <c:showBubbleSize val="0"/>
        </c:dLbls>
        <c:gapWidth val="182"/>
        <c:axId val="893624655"/>
        <c:axId val="893626319"/>
      </c:barChart>
      <c:catAx>
        <c:axId val="89362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626319"/>
        <c:crosses val="autoZero"/>
        <c:auto val="1"/>
        <c:lblAlgn val="ctr"/>
        <c:lblOffset val="100"/>
        <c:noMultiLvlLbl val="0"/>
      </c:catAx>
      <c:valAx>
        <c:axId val="89362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624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TOPSIS RESULT</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'TOPSIS '!$I$3:$I$6</c:f>
              <c:strCache>
                <c:ptCount val="4"/>
                <c:pt idx="0">
                  <c:v>A1(centre)</c:v>
                </c:pt>
                <c:pt idx="1">
                  <c:v>A2(Suburb)</c:v>
                </c:pt>
                <c:pt idx="2">
                  <c:v>A3(Shared)</c:v>
                </c:pt>
                <c:pt idx="3">
                  <c:v>A4(Extend)</c:v>
                </c:pt>
              </c:strCache>
            </c:strRef>
          </c:cat>
          <c:val>
            <c:numRef>
              <c:f>'TOPSIS '!$K$3:$K$6</c:f>
              <c:numCache>
                <c:formatCode>0.00%</c:formatCode>
                <c:ptCount val="4"/>
                <c:pt idx="0">
                  <c:v>6.7052957038908192E-2</c:v>
                </c:pt>
                <c:pt idx="1">
                  <c:v>0.23600300841903027</c:v>
                </c:pt>
                <c:pt idx="2">
                  <c:v>0.36898599789904635</c:v>
                </c:pt>
                <c:pt idx="3">
                  <c:v>0.3279580366430152</c:v>
                </c:pt>
              </c:numCache>
            </c:numRef>
          </c:val>
          <c:extLst>
            <c:ext xmlns:c16="http://schemas.microsoft.com/office/drawing/2014/chart" uri="{C3380CC4-5D6E-409C-BE32-E72D297353CC}">
              <c16:uniqueId val="{00000000-06EA-4403-BA4D-E01A21E46D3B}"/>
            </c:ext>
          </c:extLst>
        </c:ser>
        <c:dLbls>
          <c:showLegendKey val="0"/>
          <c:showVal val="1"/>
          <c:showCatName val="0"/>
          <c:showSerName val="0"/>
          <c:showPercent val="0"/>
          <c:showBubbleSize val="0"/>
        </c:dLbls>
        <c:gapWidth val="150"/>
        <c:overlap val="-25"/>
        <c:axId val="930903216"/>
        <c:axId val="930906128"/>
      </c:barChart>
      <c:catAx>
        <c:axId val="93090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30906128"/>
        <c:crosses val="autoZero"/>
        <c:auto val="1"/>
        <c:lblAlgn val="ctr"/>
        <c:lblOffset val="100"/>
        <c:noMultiLvlLbl val="0"/>
      </c:catAx>
      <c:valAx>
        <c:axId val="930906128"/>
        <c:scaling>
          <c:orientation val="minMax"/>
        </c:scaling>
        <c:delete val="1"/>
        <c:axPos val="l"/>
        <c:numFmt formatCode="0.00%" sourceLinked="1"/>
        <c:majorTickMark val="none"/>
        <c:minorTickMark val="none"/>
        <c:tickLblPos val="nextTo"/>
        <c:crossAx val="930903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47625</xdr:colOff>
      <xdr:row>1</xdr:row>
      <xdr:rowOff>9525</xdr:rowOff>
    </xdr:from>
    <xdr:ext cx="3495676" cy="2924175"/>
    <xdr:sp macro="" textlink="">
      <xdr:nvSpPr>
        <xdr:cNvPr id="2" name="TextBox 1"/>
        <xdr:cNvSpPr txBox="1"/>
      </xdr:nvSpPr>
      <xdr:spPr>
        <a:xfrm>
          <a:off x="9115425" y="200025"/>
          <a:ext cx="3495676" cy="2924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The</a:t>
          </a:r>
          <a:r>
            <a:rPr lang="en-GB" sz="1100" baseline="0"/>
            <a:t> motive of the company is that cost is much important than the other.</a:t>
          </a:r>
        </a:p>
        <a:p>
          <a:r>
            <a:rPr lang="en-GB" sz="1100" baseline="0"/>
            <a:t>Investors will try to minimize the costs and to gain maximum profitability.</a:t>
          </a:r>
        </a:p>
        <a:p>
          <a:r>
            <a:rPr lang="en-GB" sz="1100" baseline="0"/>
            <a:t> Workspace and parking is equally important, as more the space more the transfer of goods takes place so more the vehicles  more the parking space is required.</a:t>
          </a:r>
        </a:p>
        <a:p>
          <a:r>
            <a:rPr lang="en-GB" sz="1100" baseline="0"/>
            <a:t>Security is another important feature. There may be questions coming up security is the important one. but security can be increased by introducing  more people with little technology. If the above things are not working out then there is no point in keeping ony the security.</a:t>
          </a:r>
        </a:p>
        <a:p>
          <a:r>
            <a:rPr lang="en-GB" sz="1100"/>
            <a:t>Access to public transport. Most</a:t>
          </a:r>
          <a:r>
            <a:rPr lang="en-GB" sz="1100" baseline="0"/>
            <a:t> of the goods are sent by trucks. The usage of public transport will be less compared. If access to air is given may be the priority might have changed.</a:t>
          </a:r>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800100</xdr:colOff>
      <xdr:row>7</xdr:row>
      <xdr:rowOff>161925</xdr:rowOff>
    </xdr:from>
    <xdr:to>
      <xdr:col>8</xdr:col>
      <xdr:colOff>885825</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495300</xdr:colOff>
      <xdr:row>22</xdr:row>
      <xdr:rowOff>19051</xdr:rowOff>
    </xdr:from>
    <xdr:to>
      <xdr:col>13</xdr:col>
      <xdr:colOff>323851</xdr:colOff>
      <xdr:row>30</xdr:row>
      <xdr:rowOff>114301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476250</xdr:colOff>
      <xdr:row>31</xdr:row>
      <xdr:rowOff>95250</xdr:rowOff>
    </xdr:from>
    <xdr:to>
      <xdr:col>13</xdr:col>
      <xdr:colOff>390525</xdr:colOff>
      <xdr:row>45</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workbookViewId="0">
      <selection activeCell="H4" sqref="H4"/>
    </sheetView>
  </sheetViews>
  <sheetFormatPr defaultRowHeight="15" x14ac:dyDescent="0.25"/>
  <cols>
    <col min="2" max="2" width="20.42578125" bestFit="1" customWidth="1"/>
    <col min="3" max="3" width="12.5703125" customWidth="1"/>
    <col min="4" max="4" width="13.140625" customWidth="1"/>
    <col min="5" max="6" width="13" customWidth="1"/>
  </cols>
  <sheetData>
    <row r="2" spans="2:6" x14ac:dyDescent="0.25">
      <c r="B2" s="9" t="s">
        <v>50</v>
      </c>
      <c r="C2" s="10" t="s">
        <v>5</v>
      </c>
      <c r="D2" s="10" t="s">
        <v>6</v>
      </c>
      <c r="E2" s="10" t="s">
        <v>7</v>
      </c>
      <c r="F2" s="11" t="s">
        <v>8</v>
      </c>
    </row>
    <row r="3" spans="2:6" ht="60" x14ac:dyDescent="0.25">
      <c r="B3" s="12" t="s">
        <v>0</v>
      </c>
      <c r="C3" s="58" t="s">
        <v>12</v>
      </c>
      <c r="D3" s="58" t="s">
        <v>10</v>
      </c>
      <c r="E3" s="58" t="s">
        <v>11</v>
      </c>
      <c r="F3" s="59" t="s">
        <v>9</v>
      </c>
    </row>
    <row r="4" spans="2:6" x14ac:dyDescent="0.25">
      <c r="B4" s="15" t="s">
        <v>1</v>
      </c>
      <c r="C4" s="16" t="s">
        <v>13</v>
      </c>
      <c r="D4" s="60" t="s">
        <v>14</v>
      </c>
      <c r="E4" s="16" t="s">
        <v>15</v>
      </c>
      <c r="F4" s="17" t="s">
        <v>16</v>
      </c>
    </row>
    <row r="5" spans="2:6" x14ac:dyDescent="0.25">
      <c r="B5" s="12" t="s">
        <v>2</v>
      </c>
      <c r="C5" s="13" t="s">
        <v>13</v>
      </c>
      <c r="D5" s="13" t="s">
        <v>15</v>
      </c>
      <c r="E5" s="13" t="s">
        <v>14</v>
      </c>
      <c r="F5" s="14" t="s">
        <v>14</v>
      </c>
    </row>
    <row r="6" spans="2:6" x14ac:dyDescent="0.25">
      <c r="B6" s="15" t="s">
        <v>3</v>
      </c>
      <c r="C6" s="16" t="s">
        <v>17</v>
      </c>
      <c r="D6" s="16" t="s">
        <v>18</v>
      </c>
      <c r="E6" s="16" t="s">
        <v>17</v>
      </c>
      <c r="F6" s="17" t="s">
        <v>19</v>
      </c>
    </row>
    <row r="7" spans="2:6" x14ac:dyDescent="0.25">
      <c r="B7" s="3" t="s">
        <v>4</v>
      </c>
      <c r="C7" s="56">
        <v>800000</v>
      </c>
      <c r="D7" s="56">
        <v>600000</v>
      </c>
      <c r="E7" s="56">
        <v>300000</v>
      </c>
      <c r="F7" s="57">
        <v>250000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0"/>
  <sheetViews>
    <sheetView tabSelected="1" workbookViewId="0">
      <selection activeCell="M22" sqref="M22"/>
    </sheetView>
  </sheetViews>
  <sheetFormatPr defaultRowHeight="15" x14ac:dyDescent="0.25"/>
  <cols>
    <col min="2" max="2" width="20.42578125" bestFit="1" customWidth="1"/>
    <col min="3" max="3" width="21" customWidth="1"/>
    <col min="4" max="4" width="13.28515625" customWidth="1"/>
    <col min="5" max="5" width="22.42578125" customWidth="1"/>
    <col min="6" max="6" width="13.85546875" customWidth="1"/>
    <col min="7" max="7" width="10.5703125" customWidth="1"/>
    <col min="8" max="8" width="12" bestFit="1" customWidth="1"/>
    <col min="9" max="9" width="13.28515625" bestFit="1" customWidth="1"/>
    <col min="12" max="12" width="17.42578125" bestFit="1" customWidth="1"/>
  </cols>
  <sheetData>
    <row r="2" spans="2:9" x14ac:dyDescent="0.25">
      <c r="B2" s="9"/>
      <c r="C2" s="10" t="s">
        <v>0</v>
      </c>
      <c r="D2" s="10" t="s">
        <v>1</v>
      </c>
      <c r="E2" s="10" t="s">
        <v>2</v>
      </c>
      <c r="F2" s="10" t="s">
        <v>3</v>
      </c>
      <c r="G2" s="11" t="s">
        <v>4</v>
      </c>
      <c r="I2" t="s">
        <v>30</v>
      </c>
    </row>
    <row r="3" spans="2:9" x14ac:dyDescent="0.25">
      <c r="B3" s="12" t="s">
        <v>0</v>
      </c>
      <c r="C3" s="13">
        <v>1</v>
      </c>
      <c r="D3" s="13">
        <f>1/C4</f>
        <v>0.5</v>
      </c>
      <c r="E3" s="13">
        <f>1/C5</f>
        <v>0.33333333333333331</v>
      </c>
      <c r="F3" s="13">
        <f>1/C6</f>
        <v>0.5</v>
      </c>
      <c r="G3" s="14">
        <f>1/C$7</f>
        <v>0.25</v>
      </c>
      <c r="H3" s="21">
        <f>GEOMEAN(C3:G3)</f>
        <v>0.46105395574086389</v>
      </c>
      <c r="I3" s="18">
        <f>H3/$H$8</f>
        <v>8.0558011730495468E-2</v>
      </c>
    </row>
    <row r="4" spans="2:9" x14ac:dyDescent="0.25">
      <c r="B4" s="15" t="s">
        <v>1</v>
      </c>
      <c r="C4" s="16">
        <v>2</v>
      </c>
      <c r="D4" s="16">
        <v>1</v>
      </c>
      <c r="E4" s="16">
        <v>1</v>
      </c>
      <c r="F4" s="16">
        <v>2</v>
      </c>
      <c r="G4" s="17">
        <f>1/D$7</f>
        <v>0.5</v>
      </c>
      <c r="H4" s="21">
        <f t="shared" ref="H4:H7" si="0">GEOMEAN(C4:G4)</f>
        <v>1.1486983549970351</v>
      </c>
      <c r="I4" s="18">
        <f t="shared" ref="I4:I7" si="1">H4/$H$8</f>
        <v>0.20070721529317598</v>
      </c>
    </row>
    <row r="5" spans="2:9" x14ac:dyDescent="0.25">
      <c r="B5" s="12" t="s">
        <v>2</v>
      </c>
      <c r="C5" s="13">
        <v>3</v>
      </c>
      <c r="D5" s="13">
        <v>1</v>
      </c>
      <c r="E5" s="13">
        <v>1</v>
      </c>
      <c r="F5" s="13">
        <v>2</v>
      </c>
      <c r="G5" s="14">
        <f>1/E$7</f>
        <v>0.5</v>
      </c>
      <c r="H5" s="21">
        <f>GEOMEAN(C5:G5)</f>
        <v>1.2457309396155174</v>
      </c>
      <c r="I5" s="18">
        <f t="shared" si="1"/>
        <v>0.21766130926114838</v>
      </c>
    </row>
    <row r="6" spans="2:9" x14ac:dyDescent="0.25">
      <c r="B6" s="15" t="s">
        <v>3</v>
      </c>
      <c r="C6" s="16">
        <v>2</v>
      </c>
      <c r="D6" s="16">
        <f>1/F4</f>
        <v>0.5</v>
      </c>
      <c r="E6" s="16">
        <f>1/F5</f>
        <v>0.5</v>
      </c>
      <c r="F6" s="16">
        <v>1</v>
      </c>
      <c r="G6" s="17">
        <f>1/F$7</f>
        <v>0.33333333333333331</v>
      </c>
      <c r="H6" s="21">
        <f t="shared" si="0"/>
        <v>0.69882711877157921</v>
      </c>
      <c r="I6" s="18">
        <f t="shared" si="1"/>
        <v>0.12210311294505095</v>
      </c>
    </row>
    <row r="7" spans="2:9" x14ac:dyDescent="0.25">
      <c r="B7" s="3" t="s">
        <v>4</v>
      </c>
      <c r="C7" s="4">
        <v>4</v>
      </c>
      <c r="D7" s="4">
        <v>2</v>
      </c>
      <c r="E7" s="4">
        <v>2</v>
      </c>
      <c r="F7" s="4">
        <v>3</v>
      </c>
      <c r="G7" s="5">
        <v>1</v>
      </c>
      <c r="H7" s="21">
        <f t="shared" si="0"/>
        <v>2.1689435423953971</v>
      </c>
      <c r="I7" s="18">
        <f t="shared" si="1"/>
        <v>0.37897035077012914</v>
      </c>
    </row>
    <row r="8" spans="2:9" x14ac:dyDescent="0.25">
      <c r="H8" s="20">
        <f>SUM(H3:H7)</f>
        <v>5.7232539115203931</v>
      </c>
    </row>
    <row r="9" spans="2:9" x14ac:dyDescent="0.25">
      <c r="B9" s="9"/>
      <c r="C9" s="10" t="s">
        <v>0</v>
      </c>
      <c r="D9" s="10" t="s">
        <v>1</v>
      </c>
      <c r="E9" s="10" t="s">
        <v>2</v>
      </c>
      <c r="F9" s="10" t="s">
        <v>3</v>
      </c>
      <c r="G9" s="11" t="s">
        <v>4</v>
      </c>
      <c r="H9" s="20"/>
      <c r="I9" t="s">
        <v>31</v>
      </c>
    </row>
    <row r="10" spans="2:9" x14ac:dyDescent="0.25">
      <c r="B10" s="12" t="s">
        <v>0</v>
      </c>
      <c r="C10" s="23">
        <f t="array" ref="C10:G14">MMULT(C3:G7,C3:G7)</f>
        <v>5</v>
      </c>
      <c r="D10" s="23">
        <v>2.083333333333333</v>
      </c>
      <c r="E10" s="23">
        <v>1.9166666666666665</v>
      </c>
      <c r="F10" s="23">
        <v>3.4166666666666665</v>
      </c>
      <c r="G10" s="23">
        <v>1.0833333333333333</v>
      </c>
      <c r="H10" s="21">
        <f>SUM(C10:G10)</f>
        <v>13.5</v>
      </c>
      <c r="I10" s="22">
        <f>H10/$H$15</f>
        <v>8.0556936847339639E-2</v>
      </c>
    </row>
    <row r="11" spans="2:9" x14ac:dyDescent="0.25">
      <c r="B11" s="15" t="s">
        <v>1</v>
      </c>
      <c r="C11">
        <v>13</v>
      </c>
      <c r="D11">
        <v>5</v>
      </c>
      <c r="E11">
        <v>4.6666666666666661</v>
      </c>
      <c r="F11">
        <v>8.5</v>
      </c>
      <c r="G11">
        <v>2.6666666666666665</v>
      </c>
      <c r="H11" s="21">
        <f t="shared" ref="H11:H14" si="2">SUM(C11:G11)</f>
        <v>33.833333333333329</v>
      </c>
      <c r="I11" s="22">
        <f t="shared" ref="I11:I13" si="3">H11/$H$15</f>
        <v>0.2018896071606166</v>
      </c>
    </row>
    <row r="12" spans="2:9" x14ac:dyDescent="0.25">
      <c r="B12" s="12" t="s">
        <v>2</v>
      </c>
      <c r="C12" s="23">
        <v>14</v>
      </c>
      <c r="D12" s="23">
        <v>5.5</v>
      </c>
      <c r="E12" s="23">
        <v>5</v>
      </c>
      <c r="F12" s="23">
        <v>9</v>
      </c>
      <c r="G12" s="23">
        <v>2.9166666666666665</v>
      </c>
      <c r="H12" s="21">
        <f t="shared" si="2"/>
        <v>36.416666666666664</v>
      </c>
      <c r="I12" s="22">
        <f t="shared" si="3"/>
        <v>0.21730482347091001</v>
      </c>
    </row>
    <row r="13" spans="2:9" x14ac:dyDescent="0.25">
      <c r="B13" s="15" t="s">
        <v>3</v>
      </c>
      <c r="C13">
        <v>7.833333333333333</v>
      </c>
      <c r="D13">
        <v>3.1666666666666665</v>
      </c>
      <c r="E13">
        <v>2.833333333333333</v>
      </c>
      <c r="F13">
        <v>5</v>
      </c>
      <c r="G13">
        <v>1.6666666666666665</v>
      </c>
      <c r="H13" s="21">
        <f t="shared" si="2"/>
        <v>20.5</v>
      </c>
      <c r="I13" s="22">
        <f t="shared" si="3"/>
        <v>0.12232720039781204</v>
      </c>
    </row>
    <row r="14" spans="2:9" x14ac:dyDescent="0.25">
      <c r="B14" s="3" t="s">
        <v>4</v>
      </c>
      <c r="C14" s="23">
        <v>24</v>
      </c>
      <c r="D14" s="23">
        <v>9.5</v>
      </c>
      <c r="E14" s="23">
        <v>8.8333333333333321</v>
      </c>
      <c r="F14" s="23">
        <v>16</v>
      </c>
      <c r="G14" s="23">
        <v>5</v>
      </c>
      <c r="H14" s="21">
        <f t="shared" si="2"/>
        <v>63.333333333333329</v>
      </c>
      <c r="I14" s="22">
        <f>H14/$H$15</f>
        <v>0.37792143212332174</v>
      </c>
    </row>
    <row r="15" spans="2:9" x14ac:dyDescent="0.25">
      <c r="H15">
        <f>SUM(H10:H14)</f>
        <v>167.58333333333331</v>
      </c>
    </row>
    <row r="16" spans="2:9" x14ac:dyDescent="0.25">
      <c r="B16" s="12" t="s">
        <v>0</v>
      </c>
      <c r="C16" s="23">
        <f t="array" ref="C16:G20">MMULT(C10:G14,C10:G14)</f>
        <v>131.68055555555554</v>
      </c>
      <c r="D16" s="23">
        <v>52.4861111111111</v>
      </c>
      <c r="E16" s="23">
        <v>48.138888888888879</v>
      </c>
      <c r="F16" s="23">
        <v>86.458333333333329</v>
      </c>
      <c r="G16" s="23">
        <v>27.673611111111107</v>
      </c>
      <c r="H16" s="21">
        <f>SUM(C16:G16)</f>
        <v>346.43749999999994</v>
      </c>
      <c r="I16" s="22">
        <f>H16/$H$21</f>
        <v>8.1200121750538354E-2</v>
      </c>
    </row>
    <row r="17" spans="2:12" x14ac:dyDescent="0.25">
      <c r="B17" s="15" t="s">
        <v>1</v>
      </c>
      <c r="C17">
        <v>325.91666666666663</v>
      </c>
      <c r="D17">
        <v>130</v>
      </c>
      <c r="E17">
        <v>119.2222222222222</v>
      </c>
      <c r="F17">
        <v>214.08333333333331</v>
      </c>
      <c r="G17">
        <v>68.527777777777771</v>
      </c>
      <c r="H17" s="21">
        <f t="shared" ref="H17:H20" si="4">SUM(C17:G17)</f>
        <v>857.75</v>
      </c>
      <c r="I17" s="22">
        <f t="shared" ref="I17:I20" si="5">H17/$H$21</f>
        <v>0.20104464566198602</v>
      </c>
    </row>
    <row r="18" spans="2:12" x14ac:dyDescent="0.25">
      <c r="B18" s="12" t="s">
        <v>2</v>
      </c>
      <c r="C18" s="23">
        <v>352</v>
      </c>
      <c r="D18" s="23">
        <v>140.375</v>
      </c>
      <c r="E18" s="23">
        <v>128.76388888888889</v>
      </c>
      <c r="F18" s="23">
        <v>231.24999999999997</v>
      </c>
      <c r="G18" s="23">
        <v>74</v>
      </c>
      <c r="H18" s="21">
        <f t="shared" si="4"/>
        <v>926.38888888888891</v>
      </c>
      <c r="I18" s="22">
        <f t="shared" si="5"/>
        <v>0.21713264460724874</v>
      </c>
      <c r="K18" s="18" t="s">
        <v>32</v>
      </c>
      <c r="L18" s="18" t="s">
        <v>33</v>
      </c>
    </row>
    <row r="19" spans="2:12" x14ac:dyDescent="0.25">
      <c r="B19" s="15" t="s">
        <v>3</v>
      </c>
      <c r="C19">
        <v>199.16666666666666</v>
      </c>
      <c r="D19">
        <v>79.402777777777757</v>
      </c>
      <c r="E19">
        <v>72.847222222222214</v>
      </c>
      <c r="F19">
        <v>130.8472222222222</v>
      </c>
      <c r="G19">
        <v>41.8611111111111</v>
      </c>
      <c r="H19" s="21">
        <f t="shared" si="4"/>
        <v>524.12499999999989</v>
      </c>
      <c r="I19" s="22">
        <f t="shared" si="5"/>
        <v>0.12284759534548341</v>
      </c>
      <c r="K19" s="22" t="s">
        <v>34</v>
      </c>
      <c r="L19" s="22" t="s">
        <v>35</v>
      </c>
    </row>
    <row r="20" spans="2:12" x14ac:dyDescent="0.25">
      <c r="B20" s="3" t="s">
        <v>4</v>
      </c>
      <c r="C20" s="23">
        <v>612.5</v>
      </c>
      <c r="D20" s="23">
        <v>244.24999999999997</v>
      </c>
      <c r="E20" s="23">
        <v>223.99999999999997</v>
      </c>
      <c r="F20" s="23">
        <v>402.25</v>
      </c>
      <c r="G20" s="23">
        <v>128.76388888888889</v>
      </c>
      <c r="H20" s="21">
        <f t="shared" si="4"/>
        <v>1611.7638888888889</v>
      </c>
      <c r="I20" s="22">
        <f t="shared" si="5"/>
        <v>0.37777499263474357</v>
      </c>
    </row>
    <row r="21" spans="2:12" x14ac:dyDescent="0.25">
      <c r="H21">
        <f>SUM(H16:H20)</f>
        <v>4266.4652777777774</v>
      </c>
    </row>
    <row r="23" spans="2:12" x14ac:dyDescent="0.25">
      <c r="B23" s="12" t="s">
        <v>0</v>
      </c>
      <c r="C23" s="23">
        <f t="array" ref="C23:G27">MMULT(C16:G20,C16:G20)</f>
        <v>85560.460841049382</v>
      </c>
      <c r="D23" s="23">
        <v>34116.40258487653</v>
      </c>
      <c r="E23" s="23">
        <v>31292.15528549382</v>
      </c>
      <c r="F23" s="23">
        <v>56197.94386574073</v>
      </c>
      <c r="G23" s="23">
        <v>17985.714506172837</v>
      </c>
      <c r="H23" s="21">
        <f>SUM(C23:G23)</f>
        <v>225152.67708333328</v>
      </c>
      <c r="I23" s="22">
        <f>H23/$H$28</f>
        <v>8.1194520999826172E-2</v>
      </c>
    </row>
    <row r="24" spans="2:12" x14ac:dyDescent="0.25">
      <c r="B24" s="15" t="s">
        <v>1</v>
      </c>
      <c r="C24">
        <v>211863.80439814812</v>
      </c>
      <c r="D24">
        <v>84478.638888888861</v>
      </c>
      <c r="E24">
        <v>77485.270447530842</v>
      </c>
      <c r="F24">
        <v>139156.69212962961</v>
      </c>
      <c r="G24">
        <v>44536.016010802457</v>
      </c>
      <c r="H24" s="21">
        <f t="shared" ref="H24:H26" si="6">SUM(C24:G24)</f>
        <v>557520.42187499988</v>
      </c>
      <c r="I24" s="22">
        <f t="shared" ref="I24:I27" si="7">H24/$H$28</f>
        <v>0.20105292190244411</v>
      </c>
    </row>
    <row r="25" spans="2:12" x14ac:dyDescent="0.25">
      <c r="B25" s="12" t="s">
        <v>2</v>
      </c>
      <c r="C25" s="23">
        <v>228809.28819444441</v>
      </c>
      <c r="D25" s="23">
        <v>91235.484375</v>
      </c>
      <c r="E25" s="23">
        <v>83682.767554012331</v>
      </c>
      <c r="F25" s="23">
        <v>150286.85069444444</v>
      </c>
      <c r="G25" s="23">
        <v>48098.135416666657</v>
      </c>
      <c r="H25" s="21">
        <f t="shared" si="6"/>
        <v>602112.52623456775</v>
      </c>
      <c r="I25" s="22">
        <f t="shared" si="7"/>
        <v>0.21713371916744534</v>
      </c>
    </row>
    <row r="26" spans="2:12" x14ac:dyDescent="0.25">
      <c r="B26" s="15" t="s">
        <v>3</v>
      </c>
      <c r="C26">
        <v>129447.62384259255</v>
      </c>
      <c r="D26">
        <v>51615.983024691341</v>
      </c>
      <c r="E26">
        <v>47343.074845678995</v>
      </c>
      <c r="F26">
        <v>85023.977044753061</v>
      </c>
      <c r="G26">
        <v>27211.260802469129</v>
      </c>
      <c r="H26" s="21">
        <f t="shared" si="6"/>
        <v>340641.91956018505</v>
      </c>
      <c r="I26" s="22">
        <f t="shared" si="7"/>
        <v>0.12284223243285575</v>
      </c>
    </row>
    <row r="27" spans="2:12" x14ac:dyDescent="0.25">
      <c r="B27" s="3" t="s">
        <v>4</v>
      </c>
      <c r="C27" s="23">
        <v>398090.15972222219</v>
      </c>
      <c r="D27" s="23">
        <v>158734.59027777775</v>
      </c>
      <c r="E27" s="23">
        <v>145594.11458333331</v>
      </c>
      <c r="F27" s="23">
        <v>261474.15277777775</v>
      </c>
      <c r="G27" s="23">
        <v>83682.767554012331</v>
      </c>
      <c r="H27" s="21">
        <f>SUM(C27:G27)</f>
        <v>1047575.7849151234</v>
      </c>
      <c r="I27" s="22">
        <f t="shared" si="7"/>
        <v>0.37777660549742875</v>
      </c>
    </row>
    <row r="28" spans="2:12" x14ac:dyDescent="0.25">
      <c r="H28">
        <f>SUM(H23:H27)</f>
        <v>2773003.329668209</v>
      </c>
    </row>
    <row r="29" spans="2:12" x14ac:dyDescent="0.25">
      <c r="B29" s="12" t="s">
        <v>0</v>
      </c>
      <c r="C29" s="23">
        <f t="array" ref="C29:G33">MMULT(C23:G27,C23:G27)</f>
        <v>36143185339.027534</v>
      </c>
      <c r="D29" s="23">
        <v>14411744465.753347</v>
      </c>
      <c r="E29" s="23">
        <v>13218701706.226446</v>
      </c>
      <c r="F29" s="23">
        <v>23739619327.652336</v>
      </c>
      <c r="G29" s="23">
        <v>7597680269.2618618</v>
      </c>
      <c r="H29" s="21">
        <f>SUM(C29:G29)</f>
        <v>95110931107.921524</v>
      </c>
      <c r="I29" s="22">
        <f>H29/$H$34</f>
        <v>8.1194520566957959E-2</v>
      </c>
    </row>
    <row r="30" spans="2:12" x14ac:dyDescent="0.25">
      <c r="B30" s="15" t="s">
        <v>1</v>
      </c>
      <c r="C30">
        <v>89497333006.981934</v>
      </c>
      <c r="D30">
        <v>35686193166.552826</v>
      </c>
      <c r="E30">
        <v>32731994632.5998</v>
      </c>
      <c r="F30">
        <v>58783767852.682892</v>
      </c>
      <c r="G30">
        <v>18813287062.567474</v>
      </c>
      <c r="H30" s="21">
        <f t="shared" ref="H30:H33" si="8">SUM(C30:G30)</f>
        <v>235512575721.38492</v>
      </c>
      <c r="I30" s="22">
        <f t="shared" ref="I30:I33" si="9">H30/$H$34</f>
        <v>0.20105292262872809</v>
      </c>
    </row>
    <row r="31" spans="2:12" x14ac:dyDescent="0.25">
      <c r="B31" s="12" t="s">
        <v>2</v>
      </c>
      <c r="C31" s="23">
        <v>96655589564.143372</v>
      </c>
      <c r="D31" s="23">
        <v>38540478513.96846</v>
      </c>
      <c r="E31" s="23">
        <v>35349994603.498383</v>
      </c>
      <c r="F31" s="23">
        <v>63485464289.305153</v>
      </c>
      <c r="G31" s="23">
        <v>20318028387.841133</v>
      </c>
      <c r="H31" s="21">
        <f t="shared" si="8"/>
        <v>254349555358.7565</v>
      </c>
      <c r="I31" s="22">
        <f t="shared" si="9"/>
        <v>0.21713371915515964</v>
      </c>
    </row>
    <row r="32" spans="2:12" x14ac:dyDescent="0.25">
      <c r="B32" s="15" t="s">
        <v>3</v>
      </c>
      <c r="C32">
        <v>54682379095.67688</v>
      </c>
      <c r="D32">
        <v>21804068095.110279</v>
      </c>
      <c r="E32">
        <v>19999069010.445824</v>
      </c>
      <c r="F32">
        <v>35916559414.59063</v>
      </c>
      <c r="G32">
        <v>11494815103.717691</v>
      </c>
      <c r="H32" s="21">
        <f t="shared" si="8"/>
        <v>143896890719.54129</v>
      </c>
      <c r="I32" s="22">
        <f t="shared" si="9"/>
        <v>0.12284223187544845</v>
      </c>
    </row>
    <row r="33" spans="2:9" x14ac:dyDescent="0.25">
      <c r="B33" s="3" t="s">
        <v>4</v>
      </c>
      <c r="C33" s="23">
        <v>168164671505.97717</v>
      </c>
      <c r="D33" s="23">
        <v>67054031103.742905</v>
      </c>
      <c r="E33" s="23">
        <v>61503119033.693893</v>
      </c>
      <c r="F33" s="23">
        <v>110454163031.41518</v>
      </c>
      <c r="G33" s="23">
        <v>35349994603.498383</v>
      </c>
      <c r="H33" s="21">
        <f t="shared" si="8"/>
        <v>442525979278.32751</v>
      </c>
      <c r="I33" s="22">
        <f t="shared" si="9"/>
        <v>0.37777660577370598</v>
      </c>
    </row>
    <row r="34" spans="2:9" x14ac:dyDescent="0.25">
      <c r="H34">
        <f>SUM(H29:H33)</f>
        <v>1171395932185.9316</v>
      </c>
    </row>
    <row r="35" spans="2:9" x14ac:dyDescent="0.25">
      <c r="C35" s="9" t="s">
        <v>36</v>
      </c>
      <c r="D35" s="40" t="s">
        <v>20</v>
      </c>
    </row>
    <row r="36" spans="2:9" x14ac:dyDescent="0.25">
      <c r="C36" s="12" t="s">
        <v>0</v>
      </c>
      <c r="D36" s="41">
        <v>8.1194520566957959E-2</v>
      </c>
    </row>
    <row r="37" spans="2:9" x14ac:dyDescent="0.25">
      <c r="C37" s="12" t="s">
        <v>1</v>
      </c>
      <c r="D37" s="41">
        <v>0.20105292262872809</v>
      </c>
    </row>
    <row r="38" spans="2:9" x14ac:dyDescent="0.25">
      <c r="C38" s="12" t="s">
        <v>2</v>
      </c>
      <c r="D38" s="41">
        <v>0.21713371915515964</v>
      </c>
    </row>
    <row r="39" spans="2:9" x14ac:dyDescent="0.25">
      <c r="C39" s="12" t="s">
        <v>3</v>
      </c>
      <c r="D39" s="41">
        <v>0.12284223187544845</v>
      </c>
    </row>
    <row r="40" spans="2:9" x14ac:dyDescent="0.25">
      <c r="C40" s="3" t="s">
        <v>4</v>
      </c>
      <c r="D40" s="42">
        <v>0.37777660577370598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1"/>
  <sheetViews>
    <sheetView workbookViewId="0">
      <selection activeCell="K8" sqref="K8"/>
    </sheetView>
  </sheetViews>
  <sheetFormatPr defaultRowHeight="15" x14ac:dyDescent="0.25"/>
  <cols>
    <col min="2" max="2" width="11" bestFit="1" customWidth="1"/>
    <col min="3" max="3" width="12.5703125" customWidth="1"/>
    <col min="4" max="4" width="13.140625" customWidth="1"/>
    <col min="5" max="6" width="13" customWidth="1"/>
    <col min="7" max="8" width="12" bestFit="1" customWidth="1"/>
    <col min="10" max="10" width="14" customWidth="1"/>
    <col min="11" max="11" width="24.85546875" customWidth="1"/>
  </cols>
  <sheetData>
    <row r="2" spans="2:11" x14ac:dyDescent="0.25">
      <c r="B2" s="9"/>
      <c r="C2" s="10" t="s">
        <v>5</v>
      </c>
      <c r="D2" s="10" t="s">
        <v>6</v>
      </c>
      <c r="E2" s="10" t="s">
        <v>7</v>
      </c>
      <c r="F2" s="11" t="s">
        <v>8</v>
      </c>
      <c r="H2" s="36" t="s">
        <v>45</v>
      </c>
      <c r="J2" s="18" t="s">
        <v>32</v>
      </c>
      <c r="K2" s="18" t="s">
        <v>33</v>
      </c>
    </row>
    <row r="3" spans="2:11" x14ac:dyDescent="0.25">
      <c r="B3" s="12" t="s">
        <v>5</v>
      </c>
      <c r="C3" s="13">
        <v>1</v>
      </c>
      <c r="D3" s="13">
        <v>4</v>
      </c>
      <c r="E3" s="13">
        <v>3</v>
      </c>
      <c r="F3" s="14">
        <f>1/C6</f>
        <v>0.33333333333333331</v>
      </c>
      <c r="G3" s="21">
        <f>GEOMEAN(C3:F3)</f>
        <v>1.4142135623730949</v>
      </c>
      <c r="H3" s="18">
        <f>G3/$G$7</f>
        <v>0.25811353226900824</v>
      </c>
      <c r="J3" s="22" t="s">
        <v>34</v>
      </c>
      <c r="K3" s="22" t="s">
        <v>35</v>
      </c>
    </row>
    <row r="4" spans="2:11" x14ac:dyDescent="0.25">
      <c r="B4" s="15" t="s">
        <v>6</v>
      </c>
      <c r="C4" s="16">
        <f>1/D3</f>
        <v>0.25</v>
      </c>
      <c r="D4" s="16">
        <v>1</v>
      </c>
      <c r="E4" s="16">
        <f>1/D5</f>
        <v>0.33333333333333331</v>
      </c>
      <c r="F4" s="17">
        <f>1/D6</f>
        <v>0.14285714285714285</v>
      </c>
      <c r="G4" s="21">
        <f t="shared" ref="G4:G6" si="0">GEOMEAN(C4:F4)</f>
        <v>0.33031643180138071</v>
      </c>
      <c r="H4" s="18">
        <f t="shared" ref="H4:H6" si="1">G4/$G$7</f>
        <v>6.0287316744213518E-2</v>
      </c>
      <c r="J4" s="9" t="s">
        <v>39</v>
      </c>
      <c r="K4" s="11" t="s">
        <v>46</v>
      </c>
    </row>
    <row r="5" spans="2:11" x14ac:dyDescent="0.25">
      <c r="B5" s="12" t="s">
        <v>7</v>
      </c>
      <c r="C5" s="13">
        <f>1/E3</f>
        <v>0.33333333333333331</v>
      </c>
      <c r="D5" s="13">
        <v>3</v>
      </c>
      <c r="E5" s="13">
        <v>1</v>
      </c>
      <c r="F5" s="14">
        <f>1/E6</f>
        <v>0.25</v>
      </c>
      <c r="G5" s="21">
        <f t="shared" si="0"/>
        <v>0.70710678118654757</v>
      </c>
      <c r="H5" s="18">
        <f t="shared" si="1"/>
        <v>0.12905676613450412</v>
      </c>
      <c r="J5" s="12" t="s">
        <v>5</v>
      </c>
      <c r="K5" s="14">
        <v>0.26011438223726441</v>
      </c>
    </row>
    <row r="6" spans="2:11" x14ac:dyDescent="0.25">
      <c r="B6" s="6" t="s">
        <v>8</v>
      </c>
      <c r="C6" s="7">
        <v>3</v>
      </c>
      <c r="D6" s="7">
        <v>7</v>
      </c>
      <c r="E6" s="7">
        <v>4</v>
      </c>
      <c r="F6" s="8">
        <v>1</v>
      </c>
      <c r="G6" s="21">
        <f t="shared" si="0"/>
        <v>3.0274001040350913</v>
      </c>
      <c r="H6" s="18">
        <f t="shared" si="1"/>
        <v>0.55254238485227425</v>
      </c>
      <c r="J6" s="15" t="s">
        <v>6</v>
      </c>
      <c r="K6" s="17">
        <v>5.9886207430016714E-2</v>
      </c>
    </row>
    <row r="7" spans="2:11" x14ac:dyDescent="0.25">
      <c r="G7">
        <f>SUM(G3:G6)</f>
        <v>5.4790368793961139</v>
      </c>
      <c r="J7" s="12" t="s">
        <v>7</v>
      </c>
      <c r="K7" s="14">
        <v>0.1294902846607742</v>
      </c>
    </row>
    <row r="8" spans="2:11" x14ac:dyDescent="0.25">
      <c r="B8" s="9"/>
      <c r="C8" s="10" t="s">
        <v>5</v>
      </c>
      <c r="D8" s="10" t="s">
        <v>6</v>
      </c>
      <c r="E8" s="10" t="s">
        <v>7</v>
      </c>
      <c r="F8" s="11" t="s">
        <v>8</v>
      </c>
      <c r="H8" s="36" t="s">
        <v>42</v>
      </c>
      <c r="J8" s="6" t="s">
        <v>8</v>
      </c>
      <c r="K8" s="8">
        <v>0.55050912567194465</v>
      </c>
    </row>
    <row r="9" spans="2:11" x14ac:dyDescent="0.25">
      <c r="B9" s="12" t="s">
        <v>5</v>
      </c>
      <c r="C9" s="23">
        <f t="array" ref="C9:F12">MMULT(C3:F6,C3:F6)</f>
        <v>4</v>
      </c>
      <c r="D9" s="23">
        <v>19.333333333333332</v>
      </c>
      <c r="E9" s="23">
        <v>8.6666666666666661</v>
      </c>
      <c r="F9" s="23">
        <v>1.9880952380952379</v>
      </c>
      <c r="G9" s="21">
        <f>SUM(C9:F9)</f>
        <v>33.988095238095241</v>
      </c>
      <c r="H9" s="22">
        <f>G9/$G$13</f>
        <v>0.26517027863777093</v>
      </c>
    </row>
    <row r="10" spans="2:11" x14ac:dyDescent="0.25">
      <c r="B10" s="15" t="s">
        <v>6</v>
      </c>
      <c r="C10">
        <v>1.0396825396825398</v>
      </c>
      <c r="D10">
        <v>4</v>
      </c>
      <c r="E10">
        <v>1.9880952380952379</v>
      </c>
      <c r="F10">
        <v>0.45238095238095233</v>
      </c>
      <c r="G10" s="21">
        <f t="shared" ref="G10:G12" si="2">SUM(C10:F10)</f>
        <v>7.4801587301587302</v>
      </c>
      <c r="H10" s="22">
        <f t="shared" ref="H10:H12" si="3">G10/$G$13</f>
        <v>5.8359133126934991E-2</v>
      </c>
    </row>
    <row r="11" spans="2:11" x14ac:dyDescent="0.25">
      <c r="B11" s="12" t="s">
        <v>7</v>
      </c>
      <c r="C11" s="23">
        <v>2.1666666666666665</v>
      </c>
      <c r="D11" s="23">
        <v>9.0833333333333321</v>
      </c>
      <c r="E11" s="23">
        <v>4</v>
      </c>
      <c r="F11" s="23">
        <v>1.0396825396825395</v>
      </c>
      <c r="G11" s="21">
        <f t="shared" si="2"/>
        <v>16.289682539682538</v>
      </c>
      <c r="H11" s="22">
        <f t="shared" si="3"/>
        <v>0.12708978328173373</v>
      </c>
    </row>
    <row r="12" spans="2:11" x14ac:dyDescent="0.25">
      <c r="B12" s="6" t="s">
        <v>8</v>
      </c>
      <c r="C12">
        <v>9.0833333333333321</v>
      </c>
      <c r="D12">
        <v>38</v>
      </c>
      <c r="E12">
        <v>19.333333333333332</v>
      </c>
      <c r="F12">
        <v>4</v>
      </c>
      <c r="G12" s="21">
        <f t="shared" si="2"/>
        <v>70.416666666666657</v>
      </c>
      <c r="H12" s="22">
        <f t="shared" si="3"/>
        <v>0.54938080495356034</v>
      </c>
    </row>
    <row r="13" spans="2:11" x14ac:dyDescent="0.25">
      <c r="G13">
        <f>SUM(G9:G12)</f>
        <v>128.17460317460316</v>
      </c>
    </row>
    <row r="14" spans="2:11" x14ac:dyDescent="0.25">
      <c r="B14" s="9"/>
      <c r="C14" s="10" t="s">
        <v>5</v>
      </c>
      <c r="D14" s="10" t="s">
        <v>6</v>
      </c>
      <c r="E14" s="10" t="s">
        <v>7</v>
      </c>
      <c r="F14" s="11" t="s">
        <v>8</v>
      </c>
      <c r="H14" s="36" t="s">
        <v>42</v>
      </c>
    </row>
    <row r="15" spans="2:11" x14ac:dyDescent="0.25">
      <c r="B15" s="12" t="s">
        <v>5</v>
      </c>
      <c r="C15" s="23">
        <f t="array" ref="C15:F18">MMULT(C9:F12,C9:F12)</f>
        <v>72.93683862433862</v>
      </c>
      <c r="D15" s="23">
        <v>308.93650793650789</v>
      </c>
      <c r="E15" s="23">
        <v>146.20634920634919</v>
      </c>
      <c r="F15" s="23">
        <v>33.661375661375658</v>
      </c>
      <c r="G15" s="21">
        <f>SUM(C15:F15)</f>
        <v>561.74107142857144</v>
      </c>
      <c r="H15" s="22">
        <f>G15/$G$19</f>
        <v>0.25997308648399292</v>
      </c>
    </row>
    <row r="16" spans="2:11" x14ac:dyDescent="0.25">
      <c r="B16" s="15" t="s">
        <v>6</v>
      </c>
      <c r="C16">
        <v>16.734126984126984</v>
      </c>
      <c r="D16">
        <v>71.349537037037038</v>
      </c>
      <c r="E16">
        <v>33.661375661375658</v>
      </c>
      <c r="F16">
        <v>7.7530234315948592</v>
      </c>
      <c r="G16" s="21">
        <f t="shared" ref="G16:G18" si="4">SUM(C16:F16)</f>
        <v>129.49806311413454</v>
      </c>
      <c r="H16" s="22">
        <f t="shared" ref="H16:H18" si="5">G16/$G$19</f>
        <v>5.9931546532397885E-2</v>
      </c>
    </row>
    <row r="17" spans="2:8" x14ac:dyDescent="0.25">
      <c r="B17" s="12" t="s">
        <v>7</v>
      </c>
      <c r="C17" s="23">
        <v>36.220899470899468</v>
      </c>
      <c r="D17" s="23">
        <v>154.06349206349205</v>
      </c>
      <c r="E17" s="23">
        <v>72.93683862433862</v>
      </c>
      <c r="F17" s="23">
        <v>16.734126984126981</v>
      </c>
      <c r="G17" s="21">
        <f t="shared" si="4"/>
        <v>279.95535714285711</v>
      </c>
      <c r="H17" s="22">
        <f t="shared" si="5"/>
        <v>0.12956299970922033</v>
      </c>
    </row>
    <row r="18" spans="2:8" x14ac:dyDescent="0.25">
      <c r="B18" s="6" t="s">
        <v>8</v>
      </c>
      <c r="C18">
        <v>154.06349206349205</v>
      </c>
      <c r="D18">
        <v>655.22222222222217</v>
      </c>
      <c r="E18">
        <v>308.93650793650789</v>
      </c>
      <c r="F18">
        <v>71.349537037037038</v>
      </c>
      <c r="G18" s="21">
        <f t="shared" si="4"/>
        <v>1189.5717592592591</v>
      </c>
      <c r="H18" s="22">
        <f t="shared" si="5"/>
        <v>0.55053236727438881</v>
      </c>
    </row>
    <row r="19" spans="2:8" x14ac:dyDescent="0.25">
      <c r="G19">
        <f>SUM(G15:G18)</f>
        <v>2160.7662509448223</v>
      </c>
    </row>
    <row r="20" spans="2:8" x14ac:dyDescent="0.25">
      <c r="B20" s="9"/>
      <c r="C20" s="10" t="s">
        <v>5</v>
      </c>
      <c r="D20" s="10" t="s">
        <v>6</v>
      </c>
      <c r="E20" s="10" t="s">
        <v>7</v>
      </c>
      <c r="F20" s="11" t="s">
        <v>8</v>
      </c>
      <c r="H20" s="36" t="s">
        <v>42</v>
      </c>
    </row>
    <row r="21" spans="2:8" x14ac:dyDescent="0.25">
      <c r="B21" s="12" t="s">
        <v>5</v>
      </c>
      <c r="C21" s="23">
        <f t="array" ref="C21:F24">MMULT(C15:F18,C15:F18)</f>
        <v>20971.279741018061</v>
      </c>
      <c r="D21" s="23">
        <v>89156.071124128648</v>
      </c>
      <c r="E21" s="23">
        <v>42126.113494163088</v>
      </c>
      <c r="F21" s="23">
        <v>9698.7054923674332</v>
      </c>
      <c r="G21" s="21">
        <f>SUM(C21:F21)</f>
        <v>161952.16985167726</v>
      </c>
      <c r="H21" s="22">
        <f>G21/$G$25</f>
        <v>0.26011426904373935</v>
      </c>
    </row>
    <row r="22" spans="2:8" x14ac:dyDescent="0.25">
      <c r="B22" s="15" t="s">
        <v>6</v>
      </c>
      <c r="C22">
        <v>4828.2097002013616</v>
      </c>
      <c r="D22">
        <v>20526.481513084913</v>
      </c>
      <c r="E22">
        <v>9698.7054923674332</v>
      </c>
      <c r="F22">
        <v>2232.9367345189103</v>
      </c>
      <c r="G22" s="21">
        <f t="shared" ref="G22:G24" si="6">SUM(C22:F22)</f>
        <v>37286.333440172617</v>
      </c>
      <c r="H22" s="22">
        <f t="shared" ref="H22:H24" si="7">G22/$G$25</f>
        <v>5.9886245284605497E-2</v>
      </c>
    </row>
    <row r="23" spans="2:8" x14ac:dyDescent="0.25">
      <c r="B23" s="12" t="s">
        <v>7</v>
      </c>
      <c r="C23" s="23">
        <v>10439.911878691804</v>
      </c>
      <c r="D23" s="23">
        <v>44383.792957923899</v>
      </c>
      <c r="E23" s="23">
        <v>20971.279741018061</v>
      </c>
      <c r="F23" s="23">
        <v>4828.2097002013616</v>
      </c>
      <c r="G23" s="21">
        <f t="shared" si="6"/>
        <v>80623.194277835122</v>
      </c>
      <c r="H23" s="22">
        <f t="shared" si="7"/>
        <v>0.12949035055693811</v>
      </c>
    </row>
    <row r="24" spans="2:8" x14ac:dyDescent="0.25">
      <c r="B24" s="6" t="s">
        <v>8</v>
      </c>
      <c r="C24">
        <v>44383.792957923906</v>
      </c>
      <c r="D24">
        <v>188691.27890106657</v>
      </c>
      <c r="E24">
        <v>89156.071124128648</v>
      </c>
      <c r="F24">
        <v>20526.481513084909</v>
      </c>
      <c r="G24" s="21">
        <f t="shared" si="6"/>
        <v>342757.62449620402</v>
      </c>
      <c r="H24" s="22">
        <f t="shared" si="7"/>
        <v>0.550509135114717</v>
      </c>
    </row>
    <row r="25" spans="2:8" x14ac:dyDescent="0.25">
      <c r="G25">
        <f>SUM(G21:G24)</f>
        <v>622619.32206588902</v>
      </c>
    </row>
    <row r="26" spans="2:8" x14ac:dyDescent="0.25">
      <c r="B26" s="9"/>
      <c r="C26" s="10" t="s">
        <v>5</v>
      </c>
      <c r="D26" s="10" t="s">
        <v>6</v>
      </c>
      <c r="E26" s="10" t="s">
        <v>7</v>
      </c>
      <c r="F26" s="11" t="s">
        <v>8</v>
      </c>
      <c r="H26" s="36" t="s">
        <v>42</v>
      </c>
    </row>
    <row r="27" spans="2:8" x14ac:dyDescent="0.25">
      <c r="B27" s="12" t="s">
        <v>5</v>
      </c>
      <c r="C27" s="23">
        <f t="array" ref="C27:F30">MMULT(C21:F24,C21:F24)</f>
        <v>1740517030.613343</v>
      </c>
      <c r="D27" s="23">
        <v>7399555196.3494625</v>
      </c>
      <c r="E27" s="23">
        <v>3496273974.3549156</v>
      </c>
      <c r="F27" s="23">
        <v>804948141.11887014</v>
      </c>
      <c r="G27" s="21">
        <f>SUM(C27:F27)</f>
        <v>13441294342.43659</v>
      </c>
      <c r="H27" s="22">
        <f>G27/$G$31</f>
        <v>0.26011438223726441</v>
      </c>
    </row>
    <row r="28" spans="2:8" x14ac:dyDescent="0.25">
      <c r="B28" s="15" t="s">
        <v>6</v>
      </c>
      <c r="C28">
        <v>400719725.81443048</v>
      </c>
      <c r="D28">
        <v>1703601675.4150374</v>
      </c>
      <c r="E28">
        <v>804948141.11887026</v>
      </c>
      <c r="F28">
        <v>185323437.07727051</v>
      </c>
      <c r="G28" s="21">
        <f t="shared" ref="G28:G30" si="8">SUM(C28:F28)</f>
        <v>3094592979.4256086</v>
      </c>
      <c r="H28" s="22">
        <f t="shared" ref="H28:H30" si="9">G28/$G$31</f>
        <v>5.9886207430016714E-2</v>
      </c>
    </row>
    <row r="29" spans="2:8" x14ac:dyDescent="0.25">
      <c r="B29" s="12" t="s">
        <v>7</v>
      </c>
      <c r="C29" s="23">
        <v>866465144.34160066</v>
      </c>
      <c r="D29" s="23">
        <v>3683650632.8392749</v>
      </c>
      <c r="E29" s="23">
        <v>1740517030.6133428</v>
      </c>
      <c r="F29" s="23">
        <v>400719725.81443036</v>
      </c>
      <c r="G29" s="21">
        <f t="shared" si="8"/>
        <v>6691352533.6086483</v>
      </c>
      <c r="H29" s="22">
        <f t="shared" si="9"/>
        <v>0.1294902846607742</v>
      </c>
    </row>
    <row r="30" spans="2:8" x14ac:dyDescent="0.25">
      <c r="B30" s="6" t="s">
        <v>8</v>
      </c>
      <c r="C30">
        <v>3683650632.8392754</v>
      </c>
      <c r="D30">
        <v>15660505299.516712</v>
      </c>
      <c r="E30">
        <v>7399555196.3494625</v>
      </c>
      <c r="F30">
        <v>1703601675.4150372</v>
      </c>
      <c r="G30" s="21">
        <f t="shared" si="8"/>
        <v>28447312804.120491</v>
      </c>
      <c r="H30" s="22">
        <f t="shared" si="9"/>
        <v>0.55050912567194465</v>
      </c>
    </row>
    <row r="31" spans="2:8" x14ac:dyDescent="0.25">
      <c r="G31">
        <f>SUM(G27:G30)</f>
        <v>51674552659.591339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1"/>
  <sheetViews>
    <sheetView workbookViewId="0">
      <selection activeCell="K6" sqref="K6:L10"/>
    </sheetView>
  </sheetViews>
  <sheetFormatPr defaultRowHeight="15" x14ac:dyDescent="0.25"/>
  <cols>
    <col min="2" max="2" width="11" bestFit="1" customWidth="1"/>
    <col min="3" max="3" width="12.5703125" customWidth="1"/>
    <col min="4" max="4" width="13.140625" customWidth="1"/>
    <col min="5" max="6" width="13" customWidth="1"/>
    <col min="7" max="8" width="12" bestFit="1" customWidth="1"/>
    <col min="11" max="11" width="14" customWidth="1"/>
    <col min="12" max="12" width="17.42578125" bestFit="1" customWidth="1"/>
  </cols>
  <sheetData>
    <row r="2" spans="2:12" x14ac:dyDescent="0.25">
      <c r="B2" s="9"/>
      <c r="C2" s="10" t="s">
        <v>5</v>
      </c>
      <c r="D2" s="10" t="s">
        <v>6</v>
      </c>
      <c r="E2" s="10" t="s">
        <v>7</v>
      </c>
      <c r="F2" s="11" t="s">
        <v>8</v>
      </c>
      <c r="H2" s="36" t="s">
        <v>41</v>
      </c>
    </row>
    <row r="3" spans="2:12" x14ac:dyDescent="0.25">
      <c r="B3" s="12" t="s">
        <v>5</v>
      </c>
      <c r="C3" s="13">
        <v>1</v>
      </c>
      <c r="D3" s="13">
        <f>1/C4</f>
        <v>0.2</v>
      </c>
      <c r="E3" s="13">
        <f>1/C5</f>
        <v>0.14285714285714285</v>
      </c>
      <c r="F3" s="14">
        <f>1/C6</f>
        <v>0.33333333333333331</v>
      </c>
      <c r="G3" s="21">
        <f>GEOMEAN(C3:F3)</f>
        <v>0.31239399369202558</v>
      </c>
      <c r="H3" s="18">
        <f>G3/$G$7</f>
        <v>5.6365918688048175E-2</v>
      </c>
      <c r="K3" s="18" t="s">
        <v>32</v>
      </c>
      <c r="L3" s="18" t="s">
        <v>33</v>
      </c>
    </row>
    <row r="4" spans="2:12" x14ac:dyDescent="0.25">
      <c r="B4" s="15" t="s">
        <v>6</v>
      </c>
      <c r="C4" s="16">
        <v>5</v>
      </c>
      <c r="D4" s="16">
        <v>1</v>
      </c>
      <c r="E4" s="16">
        <f>1/D5</f>
        <v>0.33333333333333331</v>
      </c>
      <c r="F4" s="17">
        <v>3</v>
      </c>
      <c r="G4" s="21">
        <f t="shared" ref="G4:G6" si="0">GEOMEAN(C4:F4)</f>
        <v>1.4953487812212205</v>
      </c>
      <c r="H4" s="18">
        <f t="shared" ref="H4:H6" si="1">G4/$G$7</f>
        <v>0.26980898965580474</v>
      </c>
      <c r="K4" s="22" t="s">
        <v>34</v>
      </c>
      <c r="L4" s="22" t="s">
        <v>35</v>
      </c>
    </row>
    <row r="5" spans="2:12" x14ac:dyDescent="0.25">
      <c r="B5" s="12" t="s">
        <v>7</v>
      </c>
      <c r="C5" s="13">
        <v>7</v>
      </c>
      <c r="D5" s="13">
        <v>3</v>
      </c>
      <c r="E5" s="13">
        <v>1</v>
      </c>
      <c r="F5" s="14">
        <v>4</v>
      </c>
      <c r="G5" s="21">
        <f t="shared" si="0"/>
        <v>3.0274001040350913</v>
      </c>
      <c r="H5" s="18">
        <f t="shared" si="1"/>
        <v>0.54624029765584603</v>
      </c>
    </row>
    <row r="6" spans="2:12" x14ac:dyDescent="0.25">
      <c r="B6" s="6" t="s">
        <v>8</v>
      </c>
      <c r="C6" s="7">
        <v>3</v>
      </c>
      <c r="D6" s="7">
        <f>1/F4</f>
        <v>0.33333333333333331</v>
      </c>
      <c r="E6" s="7">
        <f>1/F5</f>
        <v>0.25</v>
      </c>
      <c r="F6" s="8">
        <v>1</v>
      </c>
      <c r="G6" s="21">
        <f t="shared" si="0"/>
        <v>0.70710678118654757</v>
      </c>
      <c r="H6" s="18">
        <f t="shared" si="1"/>
        <v>0.12758479400030101</v>
      </c>
      <c r="K6" s="9" t="s">
        <v>39</v>
      </c>
      <c r="L6" s="11" t="s">
        <v>44</v>
      </c>
    </row>
    <row r="7" spans="2:12" x14ac:dyDescent="0.25">
      <c r="G7">
        <f>SUM(G3:G6)</f>
        <v>5.5422496601348854</v>
      </c>
      <c r="K7" s="12" t="s">
        <v>5</v>
      </c>
      <c r="L7" s="14">
        <v>5.5925554212577645E-2</v>
      </c>
    </row>
    <row r="8" spans="2:12" x14ac:dyDescent="0.25">
      <c r="B8" s="9"/>
      <c r="C8" s="10" t="s">
        <v>5</v>
      </c>
      <c r="D8" s="10" t="s">
        <v>6</v>
      </c>
      <c r="E8" s="10" t="s">
        <v>7</v>
      </c>
      <c r="F8" s="11" t="s">
        <v>8</v>
      </c>
      <c r="H8" s="36" t="s">
        <v>42</v>
      </c>
      <c r="K8" s="15" t="s">
        <v>6</v>
      </c>
      <c r="L8" s="17">
        <v>0.26994992245215627</v>
      </c>
    </row>
    <row r="9" spans="2:12" x14ac:dyDescent="0.25">
      <c r="B9" s="12" t="s">
        <v>5</v>
      </c>
      <c r="C9" s="23">
        <f t="array" ref="C9:F12">MMULT(C3:F6,C3:F6)</f>
        <v>4</v>
      </c>
      <c r="D9" s="23">
        <v>0.93968253968253967</v>
      </c>
      <c r="E9" s="23">
        <v>0.43571428571428567</v>
      </c>
      <c r="F9" s="23">
        <v>1.838095238095238</v>
      </c>
      <c r="G9" s="21">
        <f>SUM(C9:F9)</f>
        <v>7.2134920634920636</v>
      </c>
      <c r="H9" s="22">
        <f>G9/$G$13</f>
        <v>5.414824788208801E-2</v>
      </c>
      <c r="K9" s="12" t="s">
        <v>7</v>
      </c>
      <c r="L9" s="14">
        <v>0.54756923896179421</v>
      </c>
    </row>
    <row r="10" spans="2:12" x14ac:dyDescent="0.25">
      <c r="B10" s="15" t="s">
        <v>6</v>
      </c>
      <c r="C10">
        <v>21.333333333333332</v>
      </c>
      <c r="D10">
        <v>4</v>
      </c>
      <c r="E10">
        <v>2.1309523809523805</v>
      </c>
      <c r="F10">
        <v>9</v>
      </c>
      <c r="G10" s="21">
        <f t="shared" ref="G10:G12" si="2">SUM(C10:F10)</f>
        <v>36.464285714285708</v>
      </c>
      <c r="H10" s="22">
        <f t="shared" ref="H10:H12" si="3">G10/$G$13</f>
        <v>0.27372001858758205</v>
      </c>
      <c r="K10" s="6" t="s">
        <v>8</v>
      </c>
      <c r="L10" s="8">
        <v>0.12655528437347166</v>
      </c>
    </row>
    <row r="11" spans="2:12" x14ac:dyDescent="0.25">
      <c r="B11" s="12" t="s">
        <v>7</v>
      </c>
      <c r="C11" s="23">
        <v>41</v>
      </c>
      <c r="D11" s="23">
        <v>8.7333333333333343</v>
      </c>
      <c r="E11" s="23">
        <v>4</v>
      </c>
      <c r="F11" s="23">
        <v>19.333333333333332</v>
      </c>
      <c r="G11" s="21">
        <f t="shared" si="2"/>
        <v>73.066666666666663</v>
      </c>
      <c r="H11" s="22">
        <f t="shared" si="3"/>
        <v>0.5484766523288096</v>
      </c>
    </row>
    <row r="12" spans="2:12" x14ac:dyDescent="0.25">
      <c r="B12" s="6" t="s">
        <v>8</v>
      </c>
      <c r="C12">
        <v>9.4166666666666661</v>
      </c>
      <c r="D12">
        <v>2.0166666666666666</v>
      </c>
      <c r="E12">
        <v>1.0396825396825395</v>
      </c>
      <c r="F12">
        <v>4</v>
      </c>
      <c r="G12" s="21">
        <f t="shared" si="2"/>
        <v>16.473015873015875</v>
      </c>
      <c r="H12" s="22">
        <f t="shared" si="3"/>
        <v>0.1236550812015204</v>
      </c>
    </row>
    <row r="13" spans="2:12" x14ac:dyDescent="0.25">
      <c r="G13">
        <f>SUM(G9:G12)</f>
        <v>133.21746031746031</v>
      </c>
    </row>
    <row r="14" spans="2:12" x14ac:dyDescent="0.25">
      <c r="B14" s="9"/>
      <c r="C14" s="10" t="s">
        <v>5</v>
      </c>
      <c r="D14" s="10" t="s">
        <v>6</v>
      </c>
      <c r="E14" s="10" t="s">
        <v>7</v>
      </c>
      <c r="F14" s="11" t="s">
        <v>8</v>
      </c>
      <c r="H14" s="36" t="s">
        <v>42</v>
      </c>
    </row>
    <row r="15" spans="2:12" x14ac:dyDescent="0.25">
      <c r="B15" s="12" t="s">
        <v>5</v>
      </c>
      <c r="C15" s="23">
        <f t="array" ref="C15:F18">MMULT(C9:F12,C9:F12)</f>
        <v>71.219576719576708</v>
      </c>
      <c r="D15" s="23">
        <v>15.029523809523809</v>
      </c>
      <c r="E15" s="23">
        <v>7.3991685563114125</v>
      </c>
      <c r="F15" s="23">
        <v>31.585714285714285</v>
      </c>
      <c r="G15" s="21">
        <f>SUM(C15:F15)</f>
        <v>125.23398337112621</v>
      </c>
      <c r="H15" s="22">
        <f>G15/$G$19</f>
        <v>5.5977696583108236E-2</v>
      </c>
    </row>
    <row r="16" spans="2:12" x14ac:dyDescent="0.25">
      <c r="B16" s="15" t="s">
        <v>6</v>
      </c>
      <c r="C16">
        <v>342.78571428571428</v>
      </c>
      <c r="D16">
        <v>72.806878306878303</v>
      </c>
      <c r="E16">
        <v>35.699999999999996</v>
      </c>
      <c r="F16">
        <v>152.4111111111111</v>
      </c>
      <c r="G16" s="21">
        <f t="shared" ref="G16:G18" si="4">SUM(C16:F16)</f>
        <v>603.7037037037037</v>
      </c>
      <c r="H16" s="22">
        <f t="shared" ref="H16:H18" si="5">G16/$G$19</f>
        <v>0.26984642540577441</v>
      </c>
    </row>
    <row r="17" spans="2:8" x14ac:dyDescent="0.25">
      <c r="B17" s="12" t="s">
        <v>7</v>
      </c>
      <c r="C17" s="23">
        <v>696.36666666666667</v>
      </c>
      <c r="D17" s="23">
        <v>147.38253968253969</v>
      </c>
      <c r="E17" s="23">
        <v>72.575132275132276</v>
      </c>
      <c r="F17" s="23">
        <v>308.62857142857138</v>
      </c>
      <c r="G17" s="21">
        <f t="shared" si="4"/>
        <v>1224.9529100529101</v>
      </c>
      <c r="H17" s="22">
        <f t="shared" si="5"/>
        <v>0.5475354251436092</v>
      </c>
    </row>
    <row r="18" spans="2:8" x14ac:dyDescent="0.25">
      <c r="B18" s="6" t="s">
        <v>8</v>
      </c>
      <c r="C18">
        <v>160.98253968253965</v>
      </c>
      <c r="D18">
        <v>34.061904761904756</v>
      </c>
      <c r="E18">
        <v>16.717857142857142</v>
      </c>
      <c r="F18">
        <v>71.55925925925925</v>
      </c>
      <c r="G18" s="21">
        <f t="shared" si="4"/>
        <v>283.32156084656083</v>
      </c>
      <c r="H18" s="22">
        <f t="shared" si="5"/>
        <v>0.12664045286750825</v>
      </c>
    </row>
    <row r="19" spans="2:8" x14ac:dyDescent="0.25">
      <c r="G19">
        <f>SUM(G15:G18)</f>
        <v>2237.2121579743007</v>
      </c>
    </row>
    <row r="20" spans="2:8" x14ac:dyDescent="0.25">
      <c r="B20" s="9"/>
      <c r="C20" s="10" t="s">
        <v>5</v>
      </c>
      <c r="D20" s="10" t="s">
        <v>6</v>
      </c>
      <c r="E20" s="10" t="s">
        <v>7</v>
      </c>
      <c r="F20" s="11" t="s">
        <v>8</v>
      </c>
      <c r="H20" s="36" t="s">
        <v>42</v>
      </c>
    </row>
    <row r="21" spans="2:8" x14ac:dyDescent="0.25">
      <c r="B21" s="12" t="s">
        <v>5</v>
      </c>
      <c r="C21" s="23">
        <f t="array" ref="C21:F24">MMULT(C15:F18,C15:F18)</f>
        <v>20461.417009602192</v>
      </c>
      <c r="D21" s="23">
        <v>4331.0268802265164</v>
      </c>
      <c r="E21" s="23">
        <v>2128.5607485412738</v>
      </c>
      <c r="F21" s="23">
        <v>9084.0327638483941</v>
      </c>
      <c r="G21" s="21">
        <f>SUM(C21:F21)</f>
        <v>36005.037402218375</v>
      </c>
      <c r="H21" s="22">
        <f>G21/$G$25</f>
        <v>5.592559696445254E-2</v>
      </c>
    </row>
    <row r="22" spans="2:8" x14ac:dyDescent="0.25">
      <c r="B22" s="15" t="s">
        <v>6</v>
      </c>
      <c r="C22">
        <v>98766.02900478708</v>
      </c>
      <c r="D22">
        <v>20905.717001203771</v>
      </c>
      <c r="E22">
        <v>10274.454239013065</v>
      </c>
      <c r="F22">
        <v>43848.1750659276</v>
      </c>
      <c r="G22" s="21">
        <f t="shared" ref="G22:G24" si="6">SUM(C22:F22)</f>
        <v>173794.37531093153</v>
      </c>
      <c r="H22" s="22">
        <f t="shared" ref="H22:H24" si="7">G22/$G$25</f>
        <v>0.26994984284418794</v>
      </c>
    </row>
    <row r="23" spans="2:8" x14ac:dyDescent="0.25">
      <c r="B23" s="12" t="s">
        <v>7</v>
      </c>
      <c r="C23" s="23">
        <v>200338.28257243635</v>
      </c>
      <c r="D23" s="23">
        <v>42405.306347358695</v>
      </c>
      <c r="E23" s="23">
        <v>20840.849202429938</v>
      </c>
      <c r="F23" s="23">
        <v>88941.966555807492</v>
      </c>
      <c r="G23" s="21">
        <f t="shared" si="6"/>
        <v>352526.4046780325</v>
      </c>
      <c r="H23" s="22">
        <f t="shared" si="7"/>
        <v>0.54756920280650589</v>
      </c>
    </row>
    <row r="24" spans="2:8" x14ac:dyDescent="0.25">
      <c r="B24" s="6" t="s">
        <v>8</v>
      </c>
      <c r="C24">
        <v>46302.592434912222</v>
      </c>
      <c r="D24">
        <v>9800.7967854623312</v>
      </c>
      <c r="E24">
        <v>4816.7651127787967</v>
      </c>
      <c r="F24">
        <v>20556.497207804925</v>
      </c>
      <c r="G24" s="21">
        <f t="shared" si="6"/>
        <v>81476.651540958264</v>
      </c>
      <c r="H24" s="22">
        <f t="shared" si="7"/>
        <v>0.12655535738485377</v>
      </c>
    </row>
    <row r="25" spans="2:8" x14ac:dyDescent="0.25">
      <c r="G25">
        <f>SUM(G21:G24)</f>
        <v>643802.46893214062</v>
      </c>
    </row>
    <row r="26" spans="2:8" x14ac:dyDescent="0.25">
      <c r="B26" s="9"/>
      <c r="C26" s="10" t="s">
        <v>5</v>
      </c>
      <c r="D26" s="10" t="s">
        <v>6</v>
      </c>
      <c r="E26" s="10" t="s">
        <v>7</v>
      </c>
      <c r="F26" s="11" t="s">
        <v>8</v>
      </c>
      <c r="H26" s="36" t="s">
        <v>42</v>
      </c>
    </row>
    <row r="27" spans="2:8" x14ac:dyDescent="0.25">
      <c r="B27" s="12" t="s">
        <v>5</v>
      </c>
      <c r="C27" s="23">
        <f t="array" ref="C27:F30">MMULT(C21:F24,C21:F24)</f>
        <v>1693474383.9575224</v>
      </c>
      <c r="D27" s="23">
        <v>358455199.09054887</v>
      </c>
      <c r="E27" s="23">
        <v>176168972.27380142</v>
      </c>
      <c r="F27" s="23">
        <v>751834080.42382216</v>
      </c>
      <c r="G27" s="21">
        <f>SUM(C27:F27)</f>
        <v>2979932635.7456951</v>
      </c>
      <c r="H27" s="22">
        <f>G27/$G$31</f>
        <v>5.5925554212577645E-2</v>
      </c>
    </row>
    <row r="28" spans="2:8" x14ac:dyDescent="0.25">
      <c r="B28" s="15" t="s">
        <v>6</v>
      </c>
      <c r="C28">
        <v>8174318253.2614679</v>
      </c>
      <c r="D28">
        <v>1730245762.599185</v>
      </c>
      <c r="E28">
        <v>850359036.64061987</v>
      </c>
      <c r="F28">
        <v>3629066435.9977655</v>
      </c>
      <c r="G28" s="21">
        <f t="shared" ref="G28:G30" si="8">SUM(C28:F28)</f>
        <v>14383989488.499039</v>
      </c>
      <c r="H28" s="22">
        <f t="shared" ref="H28:H30" si="9">G28/$G$31</f>
        <v>0.26994992245215627</v>
      </c>
    </row>
    <row r="29" spans="2:8" x14ac:dyDescent="0.25">
      <c r="B29" s="12" t="s">
        <v>7</v>
      </c>
      <c r="C29" s="23">
        <v>16580872423.72134</v>
      </c>
      <c r="D29" s="23">
        <v>3509648555.6878719</v>
      </c>
      <c r="E29" s="23">
        <v>1724877141.317502</v>
      </c>
      <c r="F29" s="23">
        <v>7361236219.1026907</v>
      </c>
      <c r="G29" s="21">
        <f t="shared" si="8"/>
        <v>29176634339.829403</v>
      </c>
      <c r="H29" s="22">
        <f t="shared" si="9"/>
        <v>0.54756923896179421</v>
      </c>
    </row>
    <row r="30" spans="2:8" x14ac:dyDescent="0.25">
      <c r="B30" s="6" t="s">
        <v>8</v>
      </c>
      <c r="C30">
        <v>3832203994.3707218</v>
      </c>
      <c r="D30">
        <v>811156908.40823531</v>
      </c>
      <c r="E30">
        <v>398657012.84119517</v>
      </c>
      <c r="F30">
        <v>1701343458.9868379</v>
      </c>
      <c r="G30" s="21">
        <f t="shared" si="8"/>
        <v>6743361374.6069908</v>
      </c>
      <c r="H30" s="22">
        <f t="shared" si="9"/>
        <v>0.12655528437347166</v>
      </c>
    </row>
    <row r="31" spans="2:8" x14ac:dyDescent="0.25">
      <c r="G31">
        <f>SUM(G27:G30)</f>
        <v>53283917838.681137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1"/>
  <sheetViews>
    <sheetView workbookViewId="0">
      <selection activeCell="K6" sqref="K6:L10"/>
    </sheetView>
  </sheetViews>
  <sheetFormatPr defaultRowHeight="15" x14ac:dyDescent="0.25"/>
  <cols>
    <col min="2" max="2" width="11" bestFit="1" customWidth="1"/>
    <col min="3" max="3" width="12.5703125" customWidth="1"/>
    <col min="4" max="4" width="13.140625" customWidth="1"/>
    <col min="5" max="6" width="13" customWidth="1"/>
    <col min="7" max="8" width="12" bestFit="1" customWidth="1"/>
    <col min="11" max="11" width="14" customWidth="1"/>
    <col min="12" max="12" width="26.140625" customWidth="1"/>
  </cols>
  <sheetData>
    <row r="2" spans="2:12" x14ac:dyDescent="0.25">
      <c r="B2" s="9"/>
      <c r="C2" s="10" t="s">
        <v>5</v>
      </c>
      <c r="D2" s="10" t="s">
        <v>6</v>
      </c>
      <c r="E2" s="10" t="s">
        <v>7</v>
      </c>
      <c r="F2" s="11" t="s">
        <v>8</v>
      </c>
      <c r="H2" s="36" t="s">
        <v>41</v>
      </c>
    </row>
    <row r="3" spans="2:12" x14ac:dyDescent="0.25">
      <c r="B3" s="12" t="s">
        <v>5</v>
      </c>
      <c r="C3" s="13">
        <v>1</v>
      </c>
      <c r="D3" s="13">
        <f>1/C4</f>
        <v>0.14285714285714285</v>
      </c>
      <c r="E3" s="13">
        <f>1/C5</f>
        <v>0.2</v>
      </c>
      <c r="F3" s="14">
        <f>1/C6</f>
        <v>0.2</v>
      </c>
      <c r="G3" s="21">
        <f>GEOMEAN(C3:F3)</f>
        <v>0.274941620352113</v>
      </c>
      <c r="H3" s="19">
        <f>G3/$G$7</f>
        <v>5.125020007181938E-2</v>
      </c>
      <c r="K3" s="18" t="s">
        <v>32</v>
      </c>
      <c r="L3" s="18" t="s">
        <v>33</v>
      </c>
    </row>
    <row r="4" spans="2:12" x14ac:dyDescent="0.25">
      <c r="B4" s="15" t="s">
        <v>6</v>
      </c>
      <c r="C4" s="16">
        <v>7</v>
      </c>
      <c r="D4" s="16">
        <v>1</v>
      </c>
      <c r="E4" s="16">
        <v>3</v>
      </c>
      <c r="F4" s="17">
        <v>3</v>
      </c>
      <c r="G4" s="21">
        <f t="shared" ref="G4:G6" si="0">GEOMEAN(C4:F4)</f>
        <v>2.8173132472612576</v>
      </c>
      <c r="H4" s="19">
        <f t="shared" ref="H4:H6" si="1">G4/$G$7</f>
        <v>0.52515827688151229</v>
      </c>
      <c r="K4" s="22" t="s">
        <v>34</v>
      </c>
      <c r="L4" s="22" t="s">
        <v>35</v>
      </c>
    </row>
    <row r="5" spans="2:12" x14ac:dyDescent="0.25">
      <c r="B5" s="12" t="s">
        <v>7</v>
      </c>
      <c r="C5" s="13">
        <v>5</v>
      </c>
      <c r="D5" s="13">
        <f>1/E4</f>
        <v>0.33333333333333331</v>
      </c>
      <c r="E5" s="13">
        <v>1</v>
      </c>
      <c r="F5" s="14">
        <v>1</v>
      </c>
      <c r="G5" s="21">
        <f t="shared" si="0"/>
        <v>1.1362193664674993</v>
      </c>
      <c r="H5" s="19">
        <f t="shared" si="1"/>
        <v>0.21179576152333418</v>
      </c>
    </row>
    <row r="6" spans="2:12" x14ac:dyDescent="0.25">
      <c r="B6" s="6" t="s">
        <v>8</v>
      </c>
      <c r="C6" s="7">
        <v>5</v>
      </c>
      <c r="D6" s="7">
        <f>1/F4</f>
        <v>0.33333333333333331</v>
      </c>
      <c r="E6" s="7">
        <v>1</v>
      </c>
      <c r="F6" s="8">
        <v>1</v>
      </c>
      <c r="G6" s="21">
        <f t="shared" si="0"/>
        <v>1.1362193664674993</v>
      </c>
      <c r="H6" s="19">
        <f t="shared" si="1"/>
        <v>0.21179576152333418</v>
      </c>
      <c r="K6" s="9" t="s">
        <v>39</v>
      </c>
      <c r="L6" s="11" t="s">
        <v>43</v>
      </c>
    </row>
    <row r="7" spans="2:12" x14ac:dyDescent="0.25">
      <c r="G7">
        <f>SUM(G3:G6)</f>
        <v>5.3646936005483692</v>
      </c>
      <c r="K7" s="12" t="s">
        <v>5</v>
      </c>
      <c r="L7" s="14">
        <v>5.1878260673186169E-2</v>
      </c>
    </row>
    <row r="8" spans="2:12" x14ac:dyDescent="0.25">
      <c r="C8" s="10" t="s">
        <v>5</v>
      </c>
      <c r="D8" s="10" t="s">
        <v>6</v>
      </c>
      <c r="E8" s="10" t="s">
        <v>7</v>
      </c>
      <c r="F8" s="11" t="s">
        <v>8</v>
      </c>
      <c r="H8" s="36" t="s">
        <v>42</v>
      </c>
      <c r="K8" s="15" t="s">
        <v>6</v>
      </c>
      <c r="L8" s="17">
        <v>0.528118955144948</v>
      </c>
    </row>
    <row r="9" spans="2:12" x14ac:dyDescent="0.25">
      <c r="B9" s="12" t="s">
        <v>5</v>
      </c>
      <c r="C9" s="23">
        <f t="array" ref="C9:F12">MMULT(C3:F6,C3:F6)</f>
        <v>4</v>
      </c>
      <c r="D9" s="23">
        <v>0.419047619047619</v>
      </c>
      <c r="E9" s="23">
        <v>1.0285714285714285</v>
      </c>
      <c r="F9" s="23">
        <v>1.0285714285714285</v>
      </c>
      <c r="G9" s="21">
        <f>SUM(C9:F9)</f>
        <v>6.4761904761904763</v>
      </c>
      <c r="H9" s="22">
        <f>G9/$G$13</f>
        <v>5.0058892815076562E-2</v>
      </c>
      <c r="K9" s="12" t="s">
        <v>7</v>
      </c>
      <c r="L9" s="14">
        <v>0.21000139209093296</v>
      </c>
    </row>
    <row r="10" spans="2:12" x14ac:dyDescent="0.25">
      <c r="B10" s="15" t="s">
        <v>6</v>
      </c>
      <c r="C10">
        <v>44</v>
      </c>
      <c r="D10">
        <v>4</v>
      </c>
      <c r="E10">
        <v>10.4</v>
      </c>
      <c r="F10">
        <v>10.4</v>
      </c>
      <c r="G10" s="21">
        <f t="shared" ref="G10:G12" si="2">SUM(C10:F10)</f>
        <v>68.8</v>
      </c>
      <c r="H10" s="22">
        <f t="shared" ref="H10:H12" si="3">G10/$G$13</f>
        <v>0.53180212014134276</v>
      </c>
      <c r="K10" s="6" t="s">
        <v>8</v>
      </c>
      <c r="L10" s="8">
        <v>0.21000139209093296</v>
      </c>
    </row>
    <row r="11" spans="2:12" x14ac:dyDescent="0.25">
      <c r="B11" s="12" t="s">
        <v>7</v>
      </c>
      <c r="C11" s="23">
        <v>17.333333333333332</v>
      </c>
      <c r="D11" s="23">
        <v>1.714285714285714</v>
      </c>
      <c r="E11" s="23">
        <v>4</v>
      </c>
      <c r="F11" s="23">
        <v>4</v>
      </c>
      <c r="G11" s="21">
        <f t="shared" si="2"/>
        <v>27.047619047619047</v>
      </c>
      <c r="H11" s="22">
        <f t="shared" si="3"/>
        <v>0.20906949352179036</v>
      </c>
    </row>
    <row r="12" spans="2:12" x14ac:dyDescent="0.25">
      <c r="B12" s="6" t="s">
        <v>8</v>
      </c>
      <c r="C12">
        <v>17.333333333333332</v>
      </c>
      <c r="D12">
        <v>1.714285714285714</v>
      </c>
      <c r="E12">
        <v>4</v>
      </c>
      <c r="F12">
        <v>4</v>
      </c>
      <c r="G12" s="21">
        <f t="shared" si="2"/>
        <v>27.047619047619047</v>
      </c>
      <c r="H12" s="22">
        <f t="shared" si="3"/>
        <v>0.20906949352179036</v>
      </c>
    </row>
    <row r="13" spans="2:12" x14ac:dyDescent="0.25">
      <c r="G13">
        <f>SUM(G9:G12)</f>
        <v>129.37142857142857</v>
      </c>
    </row>
    <row r="14" spans="2:12" x14ac:dyDescent="0.25">
      <c r="C14" s="10" t="s">
        <v>5</v>
      </c>
      <c r="D14" s="10" t="s">
        <v>6</v>
      </c>
      <c r="E14" s="10" t="s">
        <v>7</v>
      </c>
      <c r="F14" s="11" t="s">
        <v>8</v>
      </c>
    </row>
    <row r="15" spans="2:12" x14ac:dyDescent="0.25">
      <c r="B15" s="12" t="s">
        <v>5</v>
      </c>
      <c r="C15" s="23">
        <f t="array" ref="C15:F18">MMULT(C9:F12,C9:F12)</f>
        <v>70.095238095238088</v>
      </c>
      <c r="D15" s="23">
        <v>6.8789115646258496</v>
      </c>
      <c r="E15" s="23">
        <v>16.70095238095238</v>
      </c>
      <c r="F15" s="23">
        <v>16.70095238095238</v>
      </c>
      <c r="G15" s="21">
        <f>SUM(C15:F15)</f>
        <v>110.37605442176869</v>
      </c>
      <c r="H15" s="22">
        <f>G15/$G$19</f>
        <v>5.191053936289873E-2</v>
      </c>
    </row>
    <row r="16" spans="2:12" x14ac:dyDescent="0.25">
      <c r="B16" s="15" t="s">
        <v>6</v>
      </c>
      <c r="C16">
        <v>712.5333333333333</v>
      </c>
      <c r="D16">
        <v>70.095238095238088</v>
      </c>
      <c r="E16">
        <v>170.05714285714285</v>
      </c>
      <c r="F16">
        <v>170.05714285714285</v>
      </c>
      <c r="G16" s="21">
        <f t="shared" ref="G16:G18" si="4">SUM(C16:F16)</f>
        <v>1122.742857142857</v>
      </c>
      <c r="H16" s="22">
        <f t="shared" ref="H16:H18" si="5">G16/$G$19</f>
        <v>0.52803289250963725</v>
      </c>
    </row>
    <row r="17" spans="2:8" x14ac:dyDescent="0.25">
      <c r="B17" s="12" t="s">
        <v>7</v>
      </c>
      <c r="C17" s="23">
        <v>283.42857142857139</v>
      </c>
      <c r="D17" s="23">
        <v>27.834920634920628</v>
      </c>
      <c r="E17" s="23">
        <v>67.657142857142844</v>
      </c>
      <c r="F17" s="23">
        <v>67.657142857142844</v>
      </c>
      <c r="G17" s="21">
        <f t="shared" si="4"/>
        <v>446.57777777777773</v>
      </c>
      <c r="H17" s="22">
        <f t="shared" si="5"/>
        <v>0.21002828406373195</v>
      </c>
    </row>
    <row r="18" spans="2:8" x14ac:dyDescent="0.25">
      <c r="B18" s="6" t="s">
        <v>8</v>
      </c>
      <c r="C18">
        <v>283.42857142857139</v>
      </c>
      <c r="D18">
        <v>27.834920634920628</v>
      </c>
      <c r="E18">
        <v>67.657142857142844</v>
      </c>
      <c r="F18">
        <v>67.657142857142844</v>
      </c>
      <c r="G18" s="21">
        <f t="shared" si="4"/>
        <v>446.57777777777773</v>
      </c>
      <c r="H18" s="22">
        <f t="shared" si="5"/>
        <v>0.21002828406373195</v>
      </c>
    </row>
    <row r="19" spans="2:8" x14ac:dyDescent="0.25">
      <c r="G19">
        <f>SUM(G15:G18)</f>
        <v>2126.2744671201813</v>
      </c>
    </row>
    <row r="20" spans="2:8" x14ac:dyDescent="0.25">
      <c r="C20" s="10" t="s">
        <v>5</v>
      </c>
      <c r="D20" s="10" t="s">
        <v>6</v>
      </c>
      <c r="E20" s="10" t="s">
        <v>7</v>
      </c>
      <c r="F20" s="11" t="s">
        <v>8</v>
      </c>
    </row>
    <row r="21" spans="2:8" x14ac:dyDescent="0.25">
      <c r="B21" s="12" t="s">
        <v>5</v>
      </c>
      <c r="C21" s="23">
        <f t="array" ref="C21:F24">MMULT(C15:F18,C15:F18)</f>
        <v>19281.85034013605</v>
      </c>
      <c r="D21" s="23">
        <v>1894.0972560198679</v>
      </c>
      <c r="E21" s="23">
        <v>4600.3427223841909</v>
      </c>
      <c r="F21" s="23">
        <v>4600.3427223841909</v>
      </c>
      <c r="G21" s="21">
        <f>SUM(C21:F21)</f>
        <v>30376.633040924298</v>
      </c>
      <c r="H21" s="22">
        <f>G21/$G$25</f>
        <v>5.1878270058818149E-2</v>
      </c>
    </row>
    <row r="22" spans="2:8" x14ac:dyDescent="0.25">
      <c r="B22" s="15" t="s">
        <v>6</v>
      </c>
      <c r="C22">
        <v>196288.49342403625</v>
      </c>
      <c r="D22">
        <v>19281.85034013605</v>
      </c>
      <c r="E22">
        <v>46831.342004535138</v>
      </c>
      <c r="F22">
        <v>46831.342004535138</v>
      </c>
      <c r="G22" s="21">
        <f t="shared" ref="G22:G24" si="6">SUM(C22:F22)</f>
        <v>309233.02777324256</v>
      </c>
      <c r="H22" s="22">
        <f t="shared" ref="H22:H24" si="7">G22/$G$25</f>
        <v>0.52811891641556841</v>
      </c>
    </row>
    <row r="23" spans="2:8" x14ac:dyDescent="0.25">
      <c r="B23" s="12" t="s">
        <v>7</v>
      </c>
      <c r="C23" s="23">
        <v>78052.23667422522</v>
      </c>
      <c r="D23" s="23">
        <v>7667.2378706403169</v>
      </c>
      <c r="E23" s="23">
        <v>18622.03210884353</v>
      </c>
      <c r="F23" s="23">
        <v>18622.03210884353</v>
      </c>
      <c r="G23" s="21">
        <f t="shared" si="6"/>
        <v>122963.53876255259</v>
      </c>
      <c r="H23" s="22">
        <f t="shared" si="7"/>
        <v>0.21000140676280671</v>
      </c>
    </row>
    <row r="24" spans="2:8" x14ac:dyDescent="0.25">
      <c r="B24" s="6" t="s">
        <v>8</v>
      </c>
      <c r="C24">
        <v>78052.23667422522</v>
      </c>
      <c r="D24">
        <v>7667.2378706403169</v>
      </c>
      <c r="E24">
        <v>18622.03210884353</v>
      </c>
      <c r="F24">
        <v>18622.03210884353</v>
      </c>
      <c r="G24" s="21">
        <f t="shared" si="6"/>
        <v>122963.53876255259</v>
      </c>
      <c r="H24" s="22">
        <f t="shared" si="7"/>
        <v>0.21000140676280671</v>
      </c>
    </row>
    <row r="25" spans="2:8" x14ac:dyDescent="0.25">
      <c r="G25">
        <f>SUM(G21:G24)</f>
        <v>585536.73833927209</v>
      </c>
    </row>
    <row r="26" spans="2:8" x14ac:dyDescent="0.25">
      <c r="C26" s="10" t="s">
        <v>5</v>
      </c>
      <c r="D26" s="10" t="s">
        <v>6</v>
      </c>
      <c r="E26" s="10" t="s">
        <v>7</v>
      </c>
      <c r="F26" s="11" t="s">
        <v>8</v>
      </c>
    </row>
    <row r="27" spans="2:8" x14ac:dyDescent="0.25">
      <c r="B27" s="12" t="s">
        <v>5</v>
      </c>
      <c r="C27" s="23">
        <f t="array" ref="C27:F30">MMULT(C21:F24,C21:F24)</f>
        <v>1461713327.2223065</v>
      </c>
      <c r="D27" s="23">
        <v>143587243.51845217</v>
      </c>
      <c r="E27" s="23">
        <v>348741696.04871011</v>
      </c>
      <c r="F27" s="23">
        <v>348741696.04871011</v>
      </c>
      <c r="G27" s="21">
        <f>SUM(C27:F27)</f>
        <v>2302783962.8381786</v>
      </c>
      <c r="H27" s="22">
        <f>G27/$G$31</f>
        <v>5.1878260673186169E-2</v>
      </c>
    </row>
    <row r="28" spans="2:8" x14ac:dyDescent="0.25">
      <c r="B28" s="15" t="s">
        <v>6</v>
      </c>
      <c r="C28">
        <v>14880192687.205215</v>
      </c>
      <c r="D28">
        <v>1461713327.2223065</v>
      </c>
      <c r="E28">
        <v>3550178778.9875679</v>
      </c>
      <c r="F28">
        <v>3550178778.9875679</v>
      </c>
      <c r="G28" s="21">
        <f t="shared" ref="G28:G30" si="8">SUM(C28:F28)</f>
        <v>23442263572.40266</v>
      </c>
      <c r="H28" s="22">
        <f t="shared" ref="H28:H30" si="9">G28/$G$31</f>
        <v>0.528118955144948</v>
      </c>
    </row>
    <row r="29" spans="2:8" x14ac:dyDescent="0.25">
      <c r="B29" s="12" t="s">
        <v>7</v>
      </c>
      <c r="C29" s="23">
        <v>5916964631.6459465</v>
      </c>
      <c r="D29" s="23">
        <v>581236160.08118355</v>
      </c>
      <c r="E29" s="23">
        <v>1411694237.6257596</v>
      </c>
      <c r="F29" s="23">
        <v>1411694237.6257596</v>
      </c>
      <c r="G29" s="21">
        <f t="shared" si="8"/>
        <v>9321589266.9786491</v>
      </c>
      <c r="H29" s="22">
        <f t="shared" si="9"/>
        <v>0.21000139209093296</v>
      </c>
    </row>
    <row r="30" spans="2:8" x14ac:dyDescent="0.25">
      <c r="B30" s="6" t="s">
        <v>8</v>
      </c>
      <c r="C30">
        <v>5916964631.6459465</v>
      </c>
      <c r="D30">
        <v>581236160.08118355</v>
      </c>
      <c r="E30">
        <v>1411694237.6257596</v>
      </c>
      <c r="F30">
        <v>1411694237.6257596</v>
      </c>
      <c r="G30" s="21">
        <f t="shared" si="8"/>
        <v>9321589266.9786491</v>
      </c>
      <c r="H30" s="22">
        <f t="shared" si="9"/>
        <v>0.21000139209093296</v>
      </c>
    </row>
    <row r="31" spans="2:8" x14ac:dyDescent="0.25">
      <c r="G31">
        <f>SUM(G27:G30)</f>
        <v>44388226069.198135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1"/>
  <sheetViews>
    <sheetView workbookViewId="0">
      <selection activeCell="K8" sqref="K8:L12"/>
    </sheetView>
  </sheetViews>
  <sheetFormatPr defaultRowHeight="15" x14ac:dyDescent="0.25"/>
  <cols>
    <col min="2" max="2" width="11" bestFit="1" customWidth="1"/>
    <col min="3" max="3" width="12.5703125" customWidth="1"/>
    <col min="4" max="4" width="14" customWidth="1"/>
    <col min="5" max="5" width="17.5703125" customWidth="1"/>
    <col min="6" max="6" width="13" customWidth="1"/>
    <col min="7" max="7" width="12" bestFit="1" customWidth="1"/>
    <col min="8" max="8" width="13.85546875" customWidth="1"/>
    <col min="11" max="11" width="11.85546875" bestFit="1" customWidth="1"/>
    <col min="12" max="12" width="17.42578125" bestFit="1" customWidth="1"/>
  </cols>
  <sheetData>
    <row r="2" spans="2:12" x14ac:dyDescent="0.25">
      <c r="B2" s="27"/>
      <c r="C2" s="28" t="s">
        <v>5</v>
      </c>
      <c r="D2" s="28" t="s">
        <v>6</v>
      </c>
      <c r="E2" s="28" t="s">
        <v>7</v>
      </c>
      <c r="F2" s="29" t="s">
        <v>8</v>
      </c>
      <c r="H2" s="36" t="s">
        <v>41</v>
      </c>
    </row>
    <row r="3" spans="2:12" x14ac:dyDescent="0.25">
      <c r="B3" s="37" t="s">
        <v>5</v>
      </c>
      <c r="C3" s="38">
        <v>1</v>
      </c>
      <c r="D3" s="38">
        <f>1/C4</f>
        <v>0.33333333333333331</v>
      </c>
      <c r="E3" s="38">
        <v>1</v>
      </c>
      <c r="F3" s="39">
        <v>3</v>
      </c>
      <c r="G3" s="21">
        <f>GEOMEAN(C3:F3)</f>
        <v>1</v>
      </c>
      <c r="H3" s="18">
        <f>G3/$G$7</f>
        <v>0.20095988653758035</v>
      </c>
    </row>
    <row r="4" spans="2:12" x14ac:dyDescent="0.25">
      <c r="B4" s="30" t="s">
        <v>6</v>
      </c>
      <c r="C4" s="31">
        <v>3</v>
      </c>
      <c r="D4" s="31">
        <v>1</v>
      </c>
      <c r="E4" s="31">
        <v>3</v>
      </c>
      <c r="F4" s="32">
        <v>5</v>
      </c>
      <c r="G4" s="21">
        <f t="shared" ref="G4:G6" si="0">GEOMEAN(C4:F4)</f>
        <v>2.5900200641113513</v>
      </c>
      <c r="H4" s="18">
        <f t="shared" ref="H4:H6" si="1">G4/$G$7</f>
        <v>0.52049013821387369</v>
      </c>
      <c r="K4" s="18" t="s">
        <v>32</v>
      </c>
      <c r="L4" s="18" t="s">
        <v>33</v>
      </c>
    </row>
    <row r="5" spans="2:12" x14ac:dyDescent="0.25">
      <c r="B5" s="37" t="s">
        <v>7</v>
      </c>
      <c r="C5" s="38">
        <v>1</v>
      </c>
      <c r="D5" s="38">
        <f>1/E4</f>
        <v>0.33333333333333331</v>
      </c>
      <c r="E5" s="38">
        <v>1</v>
      </c>
      <c r="F5" s="39">
        <v>3</v>
      </c>
      <c r="G5" s="21">
        <f t="shared" si="0"/>
        <v>1</v>
      </c>
      <c r="H5" s="18">
        <f t="shared" si="1"/>
        <v>0.20095988653758035</v>
      </c>
      <c r="K5" s="22" t="s">
        <v>34</v>
      </c>
      <c r="L5" s="22" t="s">
        <v>35</v>
      </c>
    </row>
    <row r="6" spans="2:12" x14ac:dyDescent="0.25">
      <c r="B6" s="24" t="s">
        <v>8</v>
      </c>
      <c r="C6" s="25">
        <f>1/F3</f>
        <v>0.33333333333333331</v>
      </c>
      <c r="D6" s="25">
        <f>1/5</f>
        <v>0.2</v>
      </c>
      <c r="E6" s="25">
        <f>1/F5</f>
        <v>0.33333333333333331</v>
      </c>
      <c r="F6" s="26">
        <v>1</v>
      </c>
      <c r="G6" s="21">
        <f t="shared" si="0"/>
        <v>0.38609739509608965</v>
      </c>
      <c r="H6" s="18">
        <f t="shared" si="1"/>
        <v>7.759008871096551E-2</v>
      </c>
    </row>
    <row r="7" spans="2:12" x14ac:dyDescent="0.25">
      <c r="G7">
        <f>SUM(G3:G6)</f>
        <v>4.9761174592074413</v>
      </c>
    </row>
    <row r="8" spans="2:12" x14ac:dyDescent="0.25">
      <c r="B8" s="27"/>
      <c r="C8" s="28" t="s">
        <v>5</v>
      </c>
      <c r="D8" s="28" t="s">
        <v>6</v>
      </c>
      <c r="E8" s="28" t="s">
        <v>7</v>
      </c>
      <c r="F8" s="29" t="s">
        <v>8</v>
      </c>
      <c r="H8" s="36" t="s">
        <v>42</v>
      </c>
      <c r="K8" s="27" t="s">
        <v>39</v>
      </c>
      <c r="L8" s="29" t="s">
        <v>40</v>
      </c>
    </row>
    <row r="9" spans="2:12" x14ac:dyDescent="0.25">
      <c r="B9" s="37" t="s">
        <v>5</v>
      </c>
      <c r="C9" s="23">
        <f t="array" ref="C9:F12">MMULT(C3:F6,C3:F6)</f>
        <v>4</v>
      </c>
      <c r="D9" s="23">
        <v>1.6</v>
      </c>
      <c r="E9" s="23">
        <v>4</v>
      </c>
      <c r="F9" s="23">
        <v>10.666666666666666</v>
      </c>
      <c r="G9" s="21">
        <f>SUM(C9:F9)</f>
        <v>20.266666666666666</v>
      </c>
      <c r="H9" s="22">
        <f>G9/$G$13</f>
        <v>0.1993006993006993</v>
      </c>
      <c r="K9" s="37" t="s">
        <v>5</v>
      </c>
      <c r="L9" s="39">
        <v>0.19983200369537291</v>
      </c>
    </row>
    <row r="10" spans="2:12" x14ac:dyDescent="0.25">
      <c r="B10" s="30" t="s">
        <v>6</v>
      </c>
      <c r="C10">
        <v>10.666666666666666</v>
      </c>
      <c r="D10">
        <v>4</v>
      </c>
      <c r="E10">
        <v>10.666666666666666</v>
      </c>
      <c r="F10">
        <v>28</v>
      </c>
      <c r="G10" s="21">
        <f t="shared" ref="G10:G12" si="2">SUM(C10:F10)</f>
        <v>53.333333333333329</v>
      </c>
      <c r="H10" s="22">
        <f t="shared" ref="H10:H12" si="3">G10/$G$13</f>
        <v>0.52447552447552448</v>
      </c>
      <c r="K10" s="30" t="s">
        <v>6</v>
      </c>
      <c r="L10" s="32">
        <v>0.52224471932109895</v>
      </c>
    </row>
    <row r="11" spans="2:12" x14ac:dyDescent="0.25">
      <c r="B11" s="37" t="s">
        <v>7</v>
      </c>
      <c r="C11" s="23">
        <v>4</v>
      </c>
      <c r="D11" s="23">
        <v>1.6</v>
      </c>
      <c r="E11" s="23">
        <v>4</v>
      </c>
      <c r="F11" s="23">
        <v>10.666666666666666</v>
      </c>
      <c r="G11" s="21">
        <f t="shared" si="2"/>
        <v>20.266666666666666</v>
      </c>
      <c r="H11" s="22">
        <f t="shared" si="3"/>
        <v>0.1993006993006993</v>
      </c>
      <c r="K11" s="37" t="s">
        <v>7</v>
      </c>
      <c r="L11" s="39">
        <v>0.19983200369537291</v>
      </c>
    </row>
    <row r="12" spans="2:12" x14ac:dyDescent="0.25">
      <c r="B12" s="24" t="s">
        <v>8</v>
      </c>
      <c r="C12">
        <v>1.5999999999999999</v>
      </c>
      <c r="D12">
        <v>0.62222222222222223</v>
      </c>
      <c r="E12">
        <v>1.5999999999999999</v>
      </c>
      <c r="F12">
        <v>4</v>
      </c>
      <c r="G12" s="21">
        <f t="shared" si="2"/>
        <v>7.822222222222222</v>
      </c>
      <c r="H12" s="22">
        <f t="shared" si="3"/>
        <v>7.6923076923076927E-2</v>
      </c>
      <c r="K12" s="24" t="s">
        <v>8</v>
      </c>
      <c r="L12" s="26">
        <v>7.8091273288155127E-2</v>
      </c>
    </row>
    <row r="13" spans="2:12" x14ac:dyDescent="0.25">
      <c r="G13">
        <f>SUM(G9:G12)</f>
        <v>101.68888888888888</v>
      </c>
    </row>
    <row r="14" spans="2:12" x14ac:dyDescent="0.25">
      <c r="B14" s="27"/>
      <c r="C14" s="28" t="s">
        <v>5</v>
      </c>
      <c r="D14" s="28" t="s">
        <v>6</v>
      </c>
      <c r="E14" s="28" t="s">
        <v>7</v>
      </c>
      <c r="F14" s="29" t="s">
        <v>8</v>
      </c>
      <c r="H14" s="36" t="s">
        <v>42</v>
      </c>
    </row>
    <row r="15" spans="2:12" x14ac:dyDescent="0.25">
      <c r="B15" s="37" t="s">
        <v>5</v>
      </c>
      <c r="C15" s="23">
        <f t="array" ref="C15:F18">MMULT(C9:F12,C9:F12)</f>
        <v>66.133333333333326</v>
      </c>
      <c r="D15" s="23">
        <v>25.837037037037039</v>
      </c>
      <c r="E15" s="23">
        <v>66.133333333333326</v>
      </c>
      <c r="F15" s="23">
        <v>172.79999999999998</v>
      </c>
      <c r="G15" s="21">
        <f>SUM(C15:F15)</f>
        <v>330.90370370370363</v>
      </c>
      <c r="H15" s="22">
        <f>G15/$G$19</f>
        <v>0.1998396701786532</v>
      </c>
    </row>
    <row r="16" spans="2:12" x14ac:dyDescent="0.25">
      <c r="B16" s="30" t="s">
        <v>6</v>
      </c>
      <c r="C16">
        <v>172.8</v>
      </c>
      <c r="D16">
        <v>67.555555555555543</v>
      </c>
      <c r="E16">
        <v>172.8</v>
      </c>
      <c r="F16">
        <v>451.55555555555554</v>
      </c>
      <c r="G16" s="21">
        <f t="shared" ref="G16:G18" si="4">SUM(C16:F16)</f>
        <v>864.71111111111111</v>
      </c>
      <c r="H16" s="22">
        <f t="shared" ref="H16:H18" si="5">G16/$G$19</f>
        <v>0.52221713238662393</v>
      </c>
    </row>
    <row r="17" spans="2:8" x14ac:dyDescent="0.25">
      <c r="B17" s="37" t="s">
        <v>7</v>
      </c>
      <c r="C17" s="23">
        <v>66.133333333333326</v>
      </c>
      <c r="D17" s="23">
        <v>25.837037037037039</v>
      </c>
      <c r="E17" s="23">
        <v>66.133333333333326</v>
      </c>
      <c r="F17" s="23">
        <v>172.79999999999998</v>
      </c>
      <c r="G17" s="21">
        <f t="shared" si="4"/>
        <v>330.90370370370363</v>
      </c>
      <c r="H17" s="22">
        <f t="shared" si="5"/>
        <v>0.1998396701786532</v>
      </c>
    </row>
    <row r="18" spans="2:8" x14ac:dyDescent="0.25">
      <c r="B18" s="24" t="s">
        <v>8</v>
      </c>
      <c r="C18">
        <v>25.837037037037035</v>
      </c>
      <c r="D18">
        <v>10.097777777777779</v>
      </c>
      <c r="E18">
        <v>25.837037037037035</v>
      </c>
      <c r="F18">
        <v>67.555555555555543</v>
      </c>
      <c r="G18" s="21">
        <f t="shared" si="4"/>
        <v>129.32740740740741</v>
      </c>
      <c r="H18" s="22">
        <f t="shared" si="5"/>
        <v>7.8103527256069644E-2</v>
      </c>
    </row>
    <row r="19" spans="2:8" x14ac:dyDescent="0.25">
      <c r="G19">
        <f>SUM(G15:G18)</f>
        <v>1655.8459259259257</v>
      </c>
    </row>
    <row r="20" spans="2:8" x14ac:dyDescent="0.25">
      <c r="B20" s="27"/>
      <c r="C20" s="28" t="s">
        <v>5</v>
      </c>
      <c r="D20" s="28" t="s">
        <v>6</v>
      </c>
      <c r="E20" s="28" t="s">
        <v>7</v>
      </c>
      <c r="F20" s="29" t="s">
        <v>8</v>
      </c>
      <c r="H20" s="36" t="s">
        <v>42</v>
      </c>
    </row>
    <row r="21" spans="2:8" x14ac:dyDescent="0.25">
      <c r="B21" s="37" t="s">
        <v>5</v>
      </c>
      <c r="C21" s="23">
        <f t="array" ref="C21:F24">MMULT(C15:F18,C15:F18)</f>
        <v>17676.515555555554</v>
      </c>
      <c r="D21" s="23">
        <v>6907.7101563786</v>
      </c>
      <c r="E21" s="23">
        <v>17676.515555555554</v>
      </c>
      <c r="F21" s="23">
        <v>46196.137613168721</v>
      </c>
      <c r="G21" s="21">
        <f>SUM(C21:F21)</f>
        <v>88456.87888065842</v>
      </c>
      <c r="H21" s="22">
        <f>G21/$G$25</f>
        <v>0.19983200499760759</v>
      </c>
    </row>
    <row r="22" spans="2:8" x14ac:dyDescent="0.25">
      <c r="B22" s="30" t="s">
        <v>6</v>
      </c>
      <c r="C22">
        <v>46196.137613168721</v>
      </c>
      <c r="D22">
        <v>18052.740740740741</v>
      </c>
      <c r="E22">
        <v>46196.137613168721</v>
      </c>
      <c r="F22">
        <v>120729.85283950616</v>
      </c>
      <c r="G22" s="21">
        <f t="shared" ref="G22:G24" si="6">SUM(C22:F22)</f>
        <v>231174.86880658433</v>
      </c>
      <c r="H22" s="22">
        <f t="shared" ref="H22:H24" si="7">G22/$G$25</f>
        <v>0.52224471542800133</v>
      </c>
    </row>
    <row r="23" spans="2:8" x14ac:dyDescent="0.25">
      <c r="B23" s="37" t="s">
        <v>7</v>
      </c>
      <c r="C23" s="23">
        <v>17676.515555555554</v>
      </c>
      <c r="D23" s="23">
        <v>6907.7101563786</v>
      </c>
      <c r="E23" s="23">
        <v>17676.515555555554</v>
      </c>
      <c r="F23" s="23">
        <v>46196.137613168721</v>
      </c>
      <c r="G23" s="21">
        <f t="shared" si="6"/>
        <v>88456.87888065842</v>
      </c>
      <c r="H23" s="22">
        <f t="shared" si="7"/>
        <v>0.19983200499760759</v>
      </c>
    </row>
    <row r="24" spans="2:8" x14ac:dyDescent="0.25">
      <c r="B24" s="24" t="s">
        <v>8</v>
      </c>
      <c r="C24">
        <v>6907.7101563786</v>
      </c>
      <c r="D24">
        <v>2699.4269410150891</v>
      </c>
      <c r="E24">
        <v>6907.7101563786</v>
      </c>
      <c r="F24">
        <v>18052.740740740737</v>
      </c>
      <c r="G24" s="21">
        <f t="shared" si="6"/>
        <v>34567.587994513029</v>
      </c>
      <c r="H24" s="22">
        <f t="shared" si="7"/>
        <v>7.8091274576783387E-2</v>
      </c>
    </row>
    <row r="25" spans="2:8" x14ac:dyDescent="0.25">
      <c r="G25">
        <f>SUM(G21:G24)</f>
        <v>442656.21456241421</v>
      </c>
    </row>
    <row r="26" spans="2:8" x14ac:dyDescent="0.25">
      <c r="B26" s="27"/>
      <c r="C26" s="28" t="s">
        <v>5</v>
      </c>
      <c r="D26" s="28" t="s">
        <v>6</v>
      </c>
      <c r="E26" s="28" t="s">
        <v>7</v>
      </c>
      <c r="F26" s="29" t="s">
        <v>8</v>
      </c>
      <c r="H26" s="36" t="s">
        <v>42</v>
      </c>
    </row>
    <row r="27" spans="2:8" x14ac:dyDescent="0.25">
      <c r="B27" s="37" t="s">
        <v>5</v>
      </c>
      <c r="C27" s="23">
        <f t="array" ref="C27:F30">MMULT(C21:F24,C21:F24)</f>
        <v>1263137462.323493</v>
      </c>
      <c r="D27" s="23">
        <v>493614691.07410347</v>
      </c>
      <c r="E27" s="23">
        <v>1263137462.323493</v>
      </c>
      <c r="F27" s="23">
        <v>3301107216.4431906</v>
      </c>
      <c r="G27" s="21">
        <f>SUM(C27:F27)</f>
        <v>6320996832.1642799</v>
      </c>
      <c r="H27" s="22">
        <f>G27/$G$31</f>
        <v>0.19983200369537291</v>
      </c>
    </row>
    <row r="28" spans="2:8" x14ac:dyDescent="0.25">
      <c r="B28" s="30" t="s">
        <v>6</v>
      </c>
      <c r="C28">
        <v>3301107216.4431911</v>
      </c>
      <c r="D28">
        <v>1290021923.5440488</v>
      </c>
      <c r="E28">
        <v>3301107216.4431911</v>
      </c>
      <c r="F28">
        <v>8627175726.7084179</v>
      </c>
      <c r="G28" s="21">
        <f t="shared" ref="G28:G30" si="8">SUM(C28:F28)</f>
        <v>16519412083.138849</v>
      </c>
      <c r="H28" s="22">
        <f t="shared" ref="H28:H30" si="9">G28/$G$31</f>
        <v>0.52224471932109895</v>
      </c>
    </row>
    <row r="29" spans="2:8" x14ac:dyDescent="0.25">
      <c r="B29" s="37" t="s">
        <v>7</v>
      </c>
      <c r="C29" s="23">
        <v>1263137462.323493</v>
      </c>
      <c r="D29" s="23">
        <v>493614691.07410347</v>
      </c>
      <c r="E29" s="23">
        <v>1263137462.323493</v>
      </c>
      <c r="F29" s="23">
        <v>3301107216.4431906</v>
      </c>
      <c r="G29" s="21">
        <f t="shared" si="8"/>
        <v>6320996832.1642799</v>
      </c>
      <c r="H29" s="22">
        <f t="shared" si="9"/>
        <v>0.19983200369537291</v>
      </c>
    </row>
    <row r="30" spans="2:8" x14ac:dyDescent="0.25">
      <c r="B30" s="24" t="s">
        <v>8</v>
      </c>
      <c r="C30">
        <v>493614691.07410347</v>
      </c>
      <c r="D30">
        <v>192897028.63850462</v>
      </c>
      <c r="E30">
        <v>493614691.07410347</v>
      </c>
      <c r="F30">
        <v>1290021923.5440485</v>
      </c>
      <c r="G30" s="21">
        <f t="shared" si="8"/>
        <v>2470148334.33076</v>
      </c>
      <c r="H30" s="22">
        <f t="shared" si="9"/>
        <v>7.8091273288155127E-2</v>
      </c>
    </row>
    <row r="31" spans="2:8" x14ac:dyDescent="0.25">
      <c r="G31">
        <f>SUM(G27:G30)</f>
        <v>31631554081.798172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4"/>
  <sheetViews>
    <sheetView workbookViewId="0">
      <selection activeCell="E4" sqref="E4"/>
    </sheetView>
  </sheetViews>
  <sheetFormatPr defaultRowHeight="15" x14ac:dyDescent="0.25"/>
  <cols>
    <col min="2" max="2" width="11" bestFit="1" customWidth="1"/>
    <col min="3" max="3" width="12" customWidth="1"/>
    <col min="4" max="4" width="12.28515625" customWidth="1"/>
    <col min="5" max="5" width="13.42578125" customWidth="1"/>
  </cols>
  <sheetData>
    <row r="2" spans="2:5" x14ac:dyDescent="0.25">
      <c r="B2" s="27"/>
      <c r="C2" s="28" t="s">
        <v>21</v>
      </c>
      <c r="D2" s="28" t="s">
        <v>23</v>
      </c>
      <c r="E2" s="29" t="s">
        <v>22</v>
      </c>
    </row>
    <row r="3" spans="2:5" x14ac:dyDescent="0.25">
      <c r="B3" s="30" t="s">
        <v>5</v>
      </c>
      <c r="C3" s="34">
        <v>800000</v>
      </c>
      <c r="D3" s="31">
        <f>1/C3</f>
        <v>1.2500000000000001E-6</v>
      </c>
      <c r="E3" s="32">
        <f>D3/$D$7</f>
        <v>0.12195121951219513</v>
      </c>
    </row>
    <row r="4" spans="2:5" x14ac:dyDescent="0.25">
      <c r="B4" s="30" t="s">
        <v>6</v>
      </c>
      <c r="C4" s="34">
        <v>600000</v>
      </c>
      <c r="D4" s="31">
        <f t="shared" ref="D4:D6" si="0">1/C4</f>
        <v>1.6666666666666667E-6</v>
      </c>
      <c r="E4" s="32">
        <f t="shared" ref="E4:E6" si="1">D4/$D$7</f>
        <v>0.16260162601626016</v>
      </c>
    </row>
    <row r="5" spans="2:5" x14ac:dyDescent="0.25">
      <c r="B5" s="30" t="s">
        <v>7</v>
      </c>
      <c r="C5" s="34">
        <v>300000</v>
      </c>
      <c r="D5" s="31">
        <f t="shared" si="0"/>
        <v>3.3333333333333333E-6</v>
      </c>
      <c r="E5" s="32">
        <f t="shared" si="1"/>
        <v>0.32520325203252032</v>
      </c>
    </row>
    <row r="6" spans="2:5" x14ac:dyDescent="0.25">
      <c r="B6" s="24" t="s">
        <v>8</v>
      </c>
      <c r="C6" s="33">
        <v>250000</v>
      </c>
      <c r="D6" s="25">
        <f t="shared" si="0"/>
        <v>3.9999999999999998E-6</v>
      </c>
      <c r="E6" s="26">
        <f t="shared" si="1"/>
        <v>0.39024390243902435</v>
      </c>
    </row>
    <row r="7" spans="2:5" x14ac:dyDescent="0.25">
      <c r="C7" s="1"/>
      <c r="D7" s="35">
        <f>SUM(D3:D6)</f>
        <v>1.025E-5</v>
      </c>
    </row>
    <row r="10" spans="2:5" x14ac:dyDescent="0.25">
      <c r="B10" s="27" t="s">
        <v>38</v>
      </c>
      <c r="C10" s="29" t="s">
        <v>21</v>
      </c>
    </row>
    <row r="11" spans="2:5" x14ac:dyDescent="0.25">
      <c r="B11" s="30" t="s">
        <v>5</v>
      </c>
      <c r="C11" s="32">
        <v>0.12195121951219513</v>
      </c>
    </row>
    <row r="12" spans="2:5" x14ac:dyDescent="0.25">
      <c r="B12" s="30" t="s">
        <v>6</v>
      </c>
      <c r="C12" s="32">
        <v>0.16260162601626016</v>
      </c>
    </row>
    <row r="13" spans="2:5" x14ac:dyDescent="0.25">
      <c r="B13" s="30" t="s">
        <v>7</v>
      </c>
      <c r="C13" s="32">
        <v>0.32520325203252032</v>
      </c>
    </row>
    <row r="14" spans="2:5" x14ac:dyDescent="0.25">
      <c r="B14" s="24" t="s">
        <v>8</v>
      </c>
      <c r="C14" s="26">
        <v>0.39024390243902435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
  <sheetViews>
    <sheetView workbookViewId="0">
      <selection activeCell="B2" sqref="B2:G6"/>
    </sheetView>
  </sheetViews>
  <sheetFormatPr defaultRowHeight="15" x14ac:dyDescent="0.25"/>
  <cols>
    <col min="2" max="2" width="11.85546875" bestFit="1" customWidth="1"/>
    <col min="3" max="3" width="21" customWidth="1"/>
    <col min="4" max="4" width="13.28515625" customWidth="1"/>
    <col min="5" max="5" width="22.28515625" customWidth="1"/>
    <col min="6" max="6" width="13.85546875" customWidth="1"/>
    <col min="7" max="7" width="10.5703125" customWidth="1"/>
    <col min="9" max="9" width="20.42578125" bestFit="1" customWidth="1"/>
    <col min="10" max="10" width="10.42578125" customWidth="1"/>
  </cols>
  <sheetData>
    <row r="1" spans="2:10" x14ac:dyDescent="0.25">
      <c r="I1" s="27" t="s">
        <v>36</v>
      </c>
      <c r="J1" s="29" t="s">
        <v>20</v>
      </c>
    </row>
    <row r="2" spans="2:10" x14ac:dyDescent="0.25">
      <c r="B2" s="27"/>
      <c r="C2" s="28" t="s">
        <v>0</v>
      </c>
      <c r="D2" s="28" t="s">
        <v>1</v>
      </c>
      <c r="E2" s="28" t="s">
        <v>2</v>
      </c>
      <c r="F2" s="28" t="s">
        <v>3</v>
      </c>
      <c r="G2" s="29" t="s">
        <v>4</v>
      </c>
      <c r="I2" s="30" t="s">
        <v>0</v>
      </c>
      <c r="J2" s="32">
        <v>8.1194520566958001E-2</v>
      </c>
    </row>
    <row r="3" spans="2:10" x14ac:dyDescent="0.25">
      <c r="B3" s="30" t="s">
        <v>5</v>
      </c>
      <c r="C3" s="31">
        <v>0.26011438223726441</v>
      </c>
      <c r="D3" s="31">
        <v>5.5925554212577645E-2</v>
      </c>
      <c r="E3" s="31">
        <v>5.1878260673186169E-2</v>
      </c>
      <c r="F3" s="31">
        <v>0.19983200369537291</v>
      </c>
      <c r="G3" s="32">
        <v>0.12195121951219513</v>
      </c>
      <c r="I3" s="30" t="s">
        <v>1</v>
      </c>
      <c r="J3" s="32">
        <v>0.20105292262872809</v>
      </c>
    </row>
    <row r="4" spans="2:10" x14ac:dyDescent="0.25">
      <c r="B4" s="30" t="s">
        <v>6</v>
      </c>
      <c r="C4" s="31">
        <v>5.9886207430016714E-2</v>
      </c>
      <c r="D4" s="31">
        <v>0.26994992245215627</v>
      </c>
      <c r="E4" s="31">
        <v>0.528118955144948</v>
      </c>
      <c r="F4" s="31">
        <v>0.52224471932109895</v>
      </c>
      <c r="G4" s="32">
        <v>0.16260162601626016</v>
      </c>
      <c r="I4" s="30" t="s">
        <v>2</v>
      </c>
      <c r="J4" s="32">
        <v>0.21713371915515964</v>
      </c>
    </row>
    <row r="5" spans="2:10" x14ac:dyDescent="0.25">
      <c r="B5" s="30" t="s">
        <v>7</v>
      </c>
      <c r="C5" s="31">
        <v>0.1294902846607742</v>
      </c>
      <c r="D5" s="31">
        <v>0.54756923896179421</v>
      </c>
      <c r="E5" s="31">
        <v>0.21000139209093296</v>
      </c>
      <c r="F5" s="31">
        <v>0.19983200369537291</v>
      </c>
      <c r="G5" s="32">
        <v>0.32520325203252032</v>
      </c>
      <c r="I5" s="30" t="s">
        <v>3</v>
      </c>
      <c r="J5" s="32">
        <v>0.12284223187544845</v>
      </c>
    </row>
    <row r="6" spans="2:10" x14ac:dyDescent="0.25">
      <c r="B6" s="24" t="s">
        <v>8</v>
      </c>
      <c r="C6" s="25">
        <v>0.55050912567194465</v>
      </c>
      <c r="D6" s="25">
        <v>0.12655528437347166</v>
      </c>
      <c r="E6" s="25">
        <v>0.21000139209093296</v>
      </c>
      <c r="F6" s="25">
        <v>7.8091273288155127E-2</v>
      </c>
      <c r="G6" s="26">
        <v>0.39024390243902435</v>
      </c>
      <c r="I6" s="24" t="s">
        <v>4</v>
      </c>
      <c r="J6" s="26">
        <v>0.37777660577370598</v>
      </c>
    </row>
    <row r="9" spans="2:10" x14ac:dyDescent="0.25">
      <c r="B9" s="27" t="s">
        <v>39</v>
      </c>
      <c r="C9" s="29" t="s">
        <v>37</v>
      </c>
    </row>
    <row r="10" spans="2:10" x14ac:dyDescent="0.25">
      <c r="B10" s="30" t="s">
        <v>5</v>
      </c>
      <c r="C10" s="32">
        <f>(C3*J$2)+(D3*J$3)+(E3*J$4)+(F3*J$5)+(G3*J$6)</f>
        <v>0.11424650547702869</v>
      </c>
      <c r="D10" s="55">
        <f>C10</f>
        <v>0.11424650547702869</v>
      </c>
    </row>
    <row r="11" spans="2:10" x14ac:dyDescent="0.25">
      <c r="B11" s="30" t="s">
        <v>6</v>
      </c>
      <c r="C11" s="32">
        <f>(C4*J$2)+(D4*J$3)+(E4*J$4)+(F4*J$5)+(G4*J$6)</f>
        <v>0.29938988293649682</v>
      </c>
      <c r="D11" s="55">
        <f t="shared" ref="D11:D13" si="0">C11</f>
        <v>0.29938988293649682</v>
      </c>
    </row>
    <row r="12" spans="2:10" x14ac:dyDescent="0.25">
      <c r="B12" s="30" t="s">
        <v>7</v>
      </c>
      <c r="C12" s="32">
        <f>(C5*J$2)+(D5*J$3)+(E5*J$4)+(F5*J$5)+(G5*J$6)</f>
        <v>0.31360467078193183</v>
      </c>
      <c r="D12" s="55">
        <f t="shared" si="0"/>
        <v>0.31360467078193183</v>
      </c>
    </row>
    <row r="13" spans="2:10" x14ac:dyDescent="0.25">
      <c r="B13" s="24" t="s">
        <v>8</v>
      </c>
      <c r="C13" s="26">
        <f>(C6*J$2)+(D6*J$3)+(E6*J$4)+(F6*J$5)+(G6*J$6)</f>
        <v>0.27275894080454272</v>
      </c>
      <c r="D13" s="55">
        <f t="shared" si="0"/>
        <v>0.27275894080454272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
  <sheetViews>
    <sheetView workbookViewId="0">
      <selection activeCell="H9" sqref="H9"/>
    </sheetView>
  </sheetViews>
  <sheetFormatPr defaultRowHeight="15" x14ac:dyDescent="0.25"/>
  <cols>
    <col min="2" max="2" width="11" bestFit="1" customWidth="1"/>
    <col min="3" max="3" width="21" customWidth="1"/>
    <col min="4" max="4" width="13.28515625" customWidth="1"/>
    <col min="5" max="5" width="22.42578125" customWidth="1"/>
    <col min="6" max="6" width="13.85546875" customWidth="1"/>
    <col min="7" max="7" width="12" bestFit="1" customWidth="1"/>
    <col min="9" max="9" width="14" customWidth="1"/>
    <col min="10" max="10" width="28.42578125" customWidth="1"/>
  </cols>
  <sheetData>
    <row r="2" spans="2:11" ht="15.75" thickBot="1" x14ac:dyDescent="0.3">
      <c r="B2" s="36"/>
      <c r="C2" s="43" t="s">
        <v>0</v>
      </c>
      <c r="D2" s="43" t="s">
        <v>1</v>
      </c>
      <c r="E2" s="43" t="s">
        <v>2</v>
      </c>
      <c r="F2" s="43" t="s">
        <v>3</v>
      </c>
      <c r="G2" s="43" t="s">
        <v>4</v>
      </c>
      <c r="I2" s="9" t="s">
        <v>39</v>
      </c>
      <c r="J2" s="11" t="s">
        <v>49</v>
      </c>
    </row>
    <row r="3" spans="2:11" ht="15.75" thickTop="1" x14ac:dyDescent="0.25">
      <c r="B3" s="50" t="s">
        <v>20</v>
      </c>
      <c r="C3" s="49">
        <v>0.1</v>
      </c>
      <c r="D3" s="49">
        <v>0.2</v>
      </c>
      <c r="E3" s="49">
        <v>0.2</v>
      </c>
      <c r="F3" s="49">
        <v>0.15</v>
      </c>
      <c r="G3" s="49">
        <v>0.35</v>
      </c>
      <c r="I3" s="12" t="s">
        <v>5</v>
      </c>
      <c r="J3" s="14">
        <f>H30/SUM(H24,H30)</f>
        <v>0.14497814412209564</v>
      </c>
      <c r="K3" s="55">
        <f>J3/$J$7</f>
        <v>6.7052957038908192E-2</v>
      </c>
    </row>
    <row r="4" spans="2:11" x14ac:dyDescent="0.25">
      <c r="B4" s="46" t="s">
        <v>5</v>
      </c>
      <c r="C4" s="47">
        <v>7</v>
      </c>
      <c r="D4" s="47">
        <v>3</v>
      </c>
      <c r="E4" s="47">
        <v>3</v>
      </c>
      <c r="F4" s="47">
        <v>7</v>
      </c>
      <c r="G4" s="34">
        <v>800000</v>
      </c>
      <c r="I4" s="15" t="s">
        <v>6</v>
      </c>
      <c r="J4" s="17">
        <f>H31/SUM(H25,H31)</f>
        <v>0.51027247236790085</v>
      </c>
      <c r="K4" s="55">
        <f t="shared" ref="K4:K6" si="0">J4/$J$7</f>
        <v>0.23600300841903027</v>
      </c>
    </row>
    <row r="5" spans="2:11" x14ac:dyDescent="0.25">
      <c r="B5" s="48" t="s">
        <v>6</v>
      </c>
      <c r="C5" s="45">
        <v>3</v>
      </c>
      <c r="D5" s="45">
        <v>7</v>
      </c>
      <c r="E5" s="45">
        <v>9</v>
      </c>
      <c r="F5" s="45">
        <v>9</v>
      </c>
      <c r="G5" s="34">
        <v>600000</v>
      </c>
      <c r="I5" s="12" t="s">
        <v>7</v>
      </c>
      <c r="J5" s="14">
        <f>H32/SUM(H26,H32)</f>
        <v>0.79780083600790697</v>
      </c>
      <c r="K5" s="55">
        <f t="shared" si="0"/>
        <v>0.36898599789904635</v>
      </c>
    </row>
    <row r="6" spans="2:11" x14ac:dyDescent="0.25">
      <c r="B6" s="46" t="s">
        <v>7</v>
      </c>
      <c r="C6" s="47">
        <v>5</v>
      </c>
      <c r="D6" s="47">
        <v>9</v>
      </c>
      <c r="E6" s="47">
        <v>7</v>
      </c>
      <c r="F6" s="47">
        <v>7</v>
      </c>
      <c r="G6" s="34">
        <v>300000</v>
      </c>
      <c r="I6" s="6" t="s">
        <v>8</v>
      </c>
      <c r="J6" s="8">
        <f>H33/SUM(H27,H33)</f>
        <v>0.70909247857392899</v>
      </c>
      <c r="K6" s="55">
        <f t="shared" si="0"/>
        <v>0.3279580366430152</v>
      </c>
    </row>
    <row r="7" spans="2:11" x14ac:dyDescent="0.25">
      <c r="B7" s="48" t="s">
        <v>8</v>
      </c>
      <c r="C7" s="45">
        <v>9</v>
      </c>
      <c r="D7" s="45">
        <v>5</v>
      </c>
      <c r="E7" s="45">
        <v>7</v>
      </c>
      <c r="F7" s="45">
        <v>5</v>
      </c>
      <c r="G7" s="33">
        <v>250000</v>
      </c>
      <c r="J7">
        <f>SUM(J3:J6)</f>
        <v>2.1621439310718324</v>
      </c>
    </row>
    <row r="9" spans="2:11" x14ac:dyDescent="0.25">
      <c r="B9" t="s">
        <v>24</v>
      </c>
      <c r="C9">
        <f>SUMSQ(C4:C7)</f>
        <v>164</v>
      </c>
      <c r="D9">
        <f>SUMSQ(D4:D7)</f>
        <v>164</v>
      </c>
      <c r="E9">
        <f>SUMSQ(E4:E7)</f>
        <v>188</v>
      </c>
      <c r="F9">
        <f>SUMSQ(F4:F7)</f>
        <v>204</v>
      </c>
      <c r="G9">
        <f>SUMSQ(G4:G7)</f>
        <v>1152500000000</v>
      </c>
    </row>
    <row r="10" spans="2:11" x14ac:dyDescent="0.25">
      <c r="B10" t="s">
        <v>25</v>
      </c>
      <c r="C10">
        <f>SQRT(C9)</f>
        <v>12.806248474865697</v>
      </c>
      <c r="D10">
        <f>SQRT(D9)</f>
        <v>12.806248474865697</v>
      </c>
      <c r="E10">
        <f>SQRT(E9)</f>
        <v>13.711309200802088</v>
      </c>
      <c r="F10">
        <f>SQRT(F9)</f>
        <v>14.282856857085701</v>
      </c>
      <c r="G10">
        <f>SQRT(G9)</f>
        <v>1073545.5276791945</v>
      </c>
    </row>
    <row r="11" spans="2:11" ht="15.75" thickBot="1" x14ac:dyDescent="0.3">
      <c r="B11" s="9"/>
      <c r="C11" s="10" t="s">
        <v>0</v>
      </c>
      <c r="D11" s="10" t="s">
        <v>1</v>
      </c>
      <c r="E11" s="10" t="s">
        <v>2</v>
      </c>
      <c r="F11" s="10" t="s">
        <v>3</v>
      </c>
      <c r="G11" s="11" t="s">
        <v>4</v>
      </c>
    </row>
    <row r="12" spans="2:11" ht="15.75" thickTop="1" x14ac:dyDescent="0.25">
      <c r="B12" s="51" t="s">
        <v>20</v>
      </c>
      <c r="C12" s="49">
        <v>0.1</v>
      </c>
      <c r="D12" s="49">
        <v>0.2</v>
      </c>
      <c r="E12" s="49">
        <v>0.2</v>
      </c>
      <c r="F12" s="49">
        <v>0.15</v>
      </c>
      <c r="G12" s="49">
        <v>0.35</v>
      </c>
    </row>
    <row r="13" spans="2:11" x14ac:dyDescent="0.25">
      <c r="B13" s="15" t="s">
        <v>5</v>
      </c>
      <c r="C13" s="16">
        <f t="shared" ref="C13:G16" si="1">C4/C$10</f>
        <v>0.54660816661012124</v>
      </c>
      <c r="D13" s="16">
        <f t="shared" si="1"/>
        <v>0.23426064283290909</v>
      </c>
      <c r="E13" s="16">
        <f t="shared" si="1"/>
        <v>0.21879748724684184</v>
      </c>
      <c r="F13" s="16">
        <f t="shared" si="1"/>
        <v>0.4900980294098034</v>
      </c>
      <c r="G13" s="16">
        <f t="shared" si="1"/>
        <v>0.74519429253219571</v>
      </c>
    </row>
    <row r="14" spans="2:11" x14ac:dyDescent="0.25">
      <c r="B14" s="12" t="s">
        <v>6</v>
      </c>
      <c r="C14" s="16">
        <f t="shared" si="1"/>
        <v>0.23426064283290909</v>
      </c>
      <c r="D14" s="16">
        <f t="shared" si="1"/>
        <v>0.54660816661012124</v>
      </c>
      <c r="E14" s="16">
        <f t="shared" si="1"/>
        <v>0.65639246174052557</v>
      </c>
      <c r="F14" s="16">
        <f t="shared" si="1"/>
        <v>0.63012603781260434</v>
      </c>
      <c r="G14" s="16">
        <f t="shared" si="1"/>
        <v>0.55889571939914673</v>
      </c>
    </row>
    <row r="15" spans="2:11" x14ac:dyDescent="0.25">
      <c r="B15" s="15" t="s">
        <v>7</v>
      </c>
      <c r="C15" s="16">
        <f t="shared" si="1"/>
        <v>0.39043440472151519</v>
      </c>
      <c r="D15" s="16">
        <f t="shared" si="1"/>
        <v>0.70278192849872734</v>
      </c>
      <c r="E15" s="16">
        <f t="shared" si="1"/>
        <v>0.51052747024263101</v>
      </c>
      <c r="F15" s="16">
        <f t="shared" si="1"/>
        <v>0.4900980294098034</v>
      </c>
      <c r="G15" s="16">
        <f t="shared" si="1"/>
        <v>0.27944785969957336</v>
      </c>
    </row>
    <row r="16" spans="2:11" x14ac:dyDescent="0.25">
      <c r="B16" s="12" t="s">
        <v>8</v>
      </c>
      <c r="C16" s="16">
        <f t="shared" si="1"/>
        <v>0.70278192849872734</v>
      </c>
      <c r="D16" s="16">
        <f t="shared" si="1"/>
        <v>0.39043440472151519</v>
      </c>
      <c r="E16" s="16">
        <f t="shared" si="1"/>
        <v>0.51052747024263101</v>
      </c>
      <c r="F16" s="16">
        <f t="shared" si="1"/>
        <v>0.35007002100700241</v>
      </c>
      <c r="G16" s="16">
        <f t="shared" si="1"/>
        <v>0.23287321641631115</v>
      </c>
    </row>
    <row r="17" spans="1:10" x14ac:dyDescent="0.25">
      <c r="B17" s="9"/>
      <c r="C17" s="10" t="s">
        <v>0</v>
      </c>
      <c r="D17" s="10" t="s">
        <v>1</v>
      </c>
      <c r="E17" s="10" t="s">
        <v>2</v>
      </c>
      <c r="F17" s="10" t="s">
        <v>3</v>
      </c>
      <c r="G17" s="11" t="s">
        <v>4</v>
      </c>
    </row>
    <row r="18" spans="1:10" x14ac:dyDescent="0.25">
      <c r="B18" s="12" t="s">
        <v>5</v>
      </c>
      <c r="C18" s="13">
        <f>C13*C$12</f>
        <v>5.4660816661012128E-2</v>
      </c>
      <c r="D18" s="13">
        <f t="shared" ref="C18:G21" si="2">D13*D$12</f>
        <v>4.6852128566581823E-2</v>
      </c>
      <c r="E18" s="13">
        <f t="shared" si="2"/>
        <v>4.375949744936837E-2</v>
      </c>
      <c r="F18" s="13">
        <f t="shared" si="2"/>
        <v>7.3514704411470511E-2</v>
      </c>
      <c r="G18" s="14">
        <f t="shared" si="2"/>
        <v>0.26081800238626851</v>
      </c>
      <c r="I18" s="52"/>
      <c r="J18" t="s">
        <v>47</v>
      </c>
    </row>
    <row r="19" spans="1:10" x14ac:dyDescent="0.25">
      <c r="B19" s="15" t="s">
        <v>6</v>
      </c>
      <c r="C19" s="16">
        <f t="shared" si="2"/>
        <v>2.3426064283290911E-2</v>
      </c>
      <c r="D19" s="16">
        <f t="shared" si="2"/>
        <v>0.10932163332202426</v>
      </c>
      <c r="E19" s="16">
        <f t="shared" si="2"/>
        <v>0.13127849234810512</v>
      </c>
      <c r="F19" s="16">
        <f t="shared" si="2"/>
        <v>9.4518905671890655E-2</v>
      </c>
      <c r="G19" s="17">
        <f t="shared" si="2"/>
        <v>0.19561350178970136</v>
      </c>
      <c r="I19" s="2"/>
      <c r="J19" t="s">
        <v>48</v>
      </c>
    </row>
    <row r="20" spans="1:10" x14ac:dyDescent="0.25">
      <c r="B20" s="12" t="s">
        <v>7</v>
      </c>
      <c r="C20" s="13">
        <f t="shared" si="2"/>
        <v>3.9043440472151525E-2</v>
      </c>
      <c r="D20" s="13">
        <f t="shared" si="2"/>
        <v>0.14055638569974546</v>
      </c>
      <c r="E20" s="13">
        <f t="shared" si="2"/>
        <v>0.1021054940485262</v>
      </c>
      <c r="F20" s="13">
        <f t="shared" si="2"/>
        <v>7.3514704411470511E-2</v>
      </c>
      <c r="G20" s="14">
        <f t="shared" si="2"/>
        <v>9.7806750894850678E-2</v>
      </c>
    </row>
    <row r="21" spans="1:10" x14ac:dyDescent="0.25">
      <c r="B21" s="6" t="s">
        <v>8</v>
      </c>
      <c r="C21" s="7">
        <f t="shared" si="2"/>
        <v>7.0278192849872731E-2</v>
      </c>
      <c r="D21" s="7">
        <f t="shared" si="2"/>
        <v>7.808688094430305E-2</v>
      </c>
      <c r="E21" s="7">
        <f t="shared" si="2"/>
        <v>0.1021054940485262</v>
      </c>
      <c r="F21" s="7">
        <f t="shared" si="2"/>
        <v>5.251050315105036E-2</v>
      </c>
      <c r="G21" s="8">
        <f t="shared" si="2"/>
        <v>8.1505625745708896E-2</v>
      </c>
    </row>
    <row r="23" spans="1:10" x14ac:dyDescent="0.25">
      <c r="B23" s="9"/>
      <c r="C23" s="10" t="s">
        <v>0</v>
      </c>
      <c r="D23" s="10" t="s">
        <v>1</v>
      </c>
      <c r="E23" s="10" t="s">
        <v>2</v>
      </c>
      <c r="F23" s="10" t="s">
        <v>3</v>
      </c>
      <c r="G23" s="11" t="s">
        <v>4</v>
      </c>
      <c r="H23" s="35" t="s">
        <v>27</v>
      </c>
    </row>
    <row r="24" spans="1:10" x14ac:dyDescent="0.25">
      <c r="A24" s="53" t="s">
        <v>26</v>
      </c>
      <c r="B24" s="12" t="s">
        <v>5</v>
      </c>
      <c r="C24" s="13">
        <f>(C18-MAX(C18:C21))^2</f>
        <v>2.4390243902439014E-4</v>
      </c>
      <c r="D24" s="13">
        <f>(D18-MAX(D18:D21))^2</f>
        <v>8.7804878048780479E-3</v>
      </c>
      <c r="E24" s="13">
        <f>(E18-MAX(E18:E21))^2</f>
        <v>7.6595744680851103E-3</v>
      </c>
      <c r="F24" s="13">
        <f>(F18-MAX(F18:F21))^2</f>
        <v>4.4117647058823515E-4</v>
      </c>
      <c r="G24" s="14">
        <f>(G18-MIN(G18:G21))^2</f>
        <v>3.2152928416485906E-2</v>
      </c>
      <c r="H24" s="22">
        <f>SQRT(SUM(C24:G24))</f>
        <v>0.22198664283929717</v>
      </c>
    </row>
    <row r="25" spans="1:10" x14ac:dyDescent="0.25">
      <c r="B25" s="15" t="s">
        <v>6</v>
      </c>
      <c r="C25" s="16">
        <f>(C19-MAX(C18:C21))^2</f>
        <v>2.195121951219512E-3</v>
      </c>
      <c r="D25" s="16">
        <f>(D19-MAX(D18:D21))^2</f>
        <v>9.7560975609756054E-4</v>
      </c>
      <c r="E25" s="16">
        <f>(E19-MAX(E18:E21))^2</f>
        <v>0</v>
      </c>
      <c r="F25" s="16">
        <f>(F19-MAX(F18:F21))^2</f>
        <v>0</v>
      </c>
      <c r="G25" s="17">
        <f>(G19-MIN(G18:G21))^2</f>
        <v>1.3020607375271148E-2</v>
      </c>
      <c r="H25" s="22">
        <f>SQRT(SUM(C25:G25))</f>
        <v>0.12724519276808935</v>
      </c>
    </row>
    <row r="26" spans="1:10" x14ac:dyDescent="0.25">
      <c r="B26" s="12" t="s">
        <v>7</v>
      </c>
      <c r="C26" s="13">
        <f>(C20-MAX(C18:C21))^2</f>
        <v>9.7560975609756054E-4</v>
      </c>
      <c r="D26" s="13">
        <f>(D20-MAX(D18:D21))^2</f>
        <v>0</v>
      </c>
      <c r="E26" s="13">
        <f>(E20-MAX(E18:E21))^2</f>
        <v>8.5106382978723469E-4</v>
      </c>
      <c r="F26" s="13">
        <f>(F20-MAX(F18:F21))^2</f>
        <v>4.4117647058823515E-4</v>
      </c>
      <c r="G26" s="14">
        <f>(G20-MIN(G18:G21))^2</f>
        <v>2.6572668112798267E-4</v>
      </c>
      <c r="H26" s="22">
        <f>SQRT(SUM(C26:G26))</f>
        <v>5.0334647486607202E-2</v>
      </c>
    </row>
    <row r="27" spans="1:10" x14ac:dyDescent="0.25">
      <c r="B27" s="6" t="s">
        <v>8</v>
      </c>
      <c r="C27" s="7">
        <f>(C21-MAX(C18:C21))^2</f>
        <v>0</v>
      </c>
      <c r="D27" s="7">
        <f>(D21-MAX(D18:D21))^2</f>
        <v>3.9024390243902422E-3</v>
      </c>
      <c r="E27" s="7">
        <f>(E21-MAX(E18:E21))^2</f>
        <v>8.5106382978723469E-4</v>
      </c>
      <c r="F27" s="7">
        <f>(F21-MAX(F18:F21))^2</f>
        <v>1.7647058823529412E-3</v>
      </c>
      <c r="G27" s="8">
        <f>(G21-MIN(G18:G21))^2</f>
        <v>0</v>
      </c>
      <c r="H27" s="22">
        <f>SQRT(SUM(C27:G27))</f>
        <v>8.0735424297704764E-2</v>
      </c>
    </row>
    <row r="29" spans="1:10" x14ac:dyDescent="0.25">
      <c r="B29" s="9"/>
      <c r="C29" s="10" t="s">
        <v>0</v>
      </c>
      <c r="D29" s="10" t="s">
        <v>1</v>
      </c>
      <c r="E29" s="10" t="s">
        <v>2</v>
      </c>
      <c r="F29" s="10" t="s">
        <v>3</v>
      </c>
      <c r="G29" s="11" t="s">
        <v>4</v>
      </c>
      <c r="H29" s="44" t="s">
        <v>28</v>
      </c>
    </row>
    <row r="30" spans="1:10" x14ac:dyDescent="0.25">
      <c r="A30" s="54" t="s">
        <v>29</v>
      </c>
      <c r="B30" s="12" t="s">
        <v>5</v>
      </c>
      <c r="C30" s="13">
        <f>(C18-MIN(C18:C21))^2</f>
        <v>9.7560975609756119E-4</v>
      </c>
      <c r="D30" s="13">
        <f>(D18-MIN(D18:D21))^2</f>
        <v>0</v>
      </c>
      <c r="E30" s="13">
        <f>(E18-MIN(E18:E21))^2</f>
        <v>0</v>
      </c>
      <c r="F30" s="13">
        <f>(F18-MIN(F18:F21))^2</f>
        <v>4.4117647058823547E-4</v>
      </c>
      <c r="G30" s="14">
        <f>(G18-MAX(G18:G21))^2</f>
        <v>0</v>
      </c>
      <c r="H30" s="21">
        <f>SQRT(SUM(C30:G30))</f>
        <v>3.7640220863934856E-2</v>
      </c>
    </row>
    <row r="31" spans="1:10" x14ac:dyDescent="0.25">
      <c r="B31" s="15" t="s">
        <v>6</v>
      </c>
      <c r="C31" s="16">
        <f>(C19-MIN(C18:C21))^2</f>
        <v>0</v>
      </c>
      <c r="D31" s="16">
        <f>(D19-MIN(D18:D21))^2</f>
        <v>3.9024390243902448E-3</v>
      </c>
      <c r="E31" s="16">
        <f>(E19-MIN(E18:E21))^2</f>
        <v>7.6595744680851103E-3</v>
      </c>
      <c r="F31" s="16">
        <f>(F19-MIN(F18:F21))^2</f>
        <v>1.7647058823529412E-3</v>
      </c>
      <c r="G31" s="17">
        <f>(G19-MAX(G18:G21))^2</f>
        <v>4.2516268980477261E-3</v>
      </c>
      <c r="H31" s="21">
        <f>SQRT(SUM(C31:G31))</f>
        <v>0.13258335594212428</v>
      </c>
    </row>
    <row r="32" spans="1:10" x14ac:dyDescent="0.25">
      <c r="B32" s="12" t="s">
        <v>7</v>
      </c>
      <c r="C32" s="13">
        <f>(C20-MIN(C18:C21))^2</f>
        <v>2.4390243902439046E-4</v>
      </c>
      <c r="D32" s="13">
        <f>(D20-MIN(D18:D21))^2</f>
        <v>8.7804878048780479E-3</v>
      </c>
      <c r="E32" s="13">
        <f>(E20-MIN(E18:E21))^2</f>
        <v>3.4042553191489374E-3</v>
      </c>
      <c r="F32" s="13">
        <f>(F20-MIN(F18:F21))^2</f>
        <v>4.4117647058823547E-4</v>
      </c>
      <c r="G32" s="14">
        <f>(G20-MAX(G18:G21))^2</f>
        <v>2.6572668112798268E-2</v>
      </c>
      <c r="H32" s="21">
        <f>SQRT(SUM(C32:G32))</f>
        <v>0.19860133470457311</v>
      </c>
    </row>
    <row r="33" spans="2:8" x14ac:dyDescent="0.25">
      <c r="B33" s="6" t="s">
        <v>8</v>
      </c>
      <c r="C33" s="7">
        <f>(C21-MIN(C18:C21))^2</f>
        <v>2.195121951219512E-3</v>
      </c>
      <c r="D33" s="7">
        <f>(D21-MIN(D18:D21))^2</f>
        <v>9.7560975609756184E-4</v>
      </c>
      <c r="E33" s="7">
        <f>(E21-MIN(E18:E21))^2</f>
        <v>3.4042553191489374E-3</v>
      </c>
      <c r="F33" s="7">
        <f>(F21-MIN(F18:F21))^2</f>
        <v>0</v>
      </c>
      <c r="G33" s="8">
        <f>(G21-MAX(G18:G21))^2</f>
        <v>3.2152928416485906E-2</v>
      </c>
      <c r="H33" s="21">
        <f>SQRT(SUM(C33:G33))</f>
        <v>0.19679409402457157</v>
      </c>
    </row>
  </sheetData>
  <conditionalFormatting sqref="C18:C21">
    <cfRule type="top10" dxfId="12" priority="8" bottom="1" rank="1"/>
    <cfRule type="top10" dxfId="11" priority="12" rank="1"/>
    <cfRule type="top10" dxfId="10" priority="14" rank="1"/>
  </conditionalFormatting>
  <conditionalFormatting sqref="D18:D21">
    <cfRule type="top10" dxfId="9" priority="7" bottom="1" rank="1"/>
    <cfRule type="top10" dxfId="8" priority="13" rank="1"/>
  </conditionalFormatting>
  <conditionalFormatting sqref="E18:E21">
    <cfRule type="top10" dxfId="7" priority="5" bottom="1" rank="1"/>
    <cfRule type="top10" priority="6" bottom="1" rank="1"/>
    <cfRule type="top10" dxfId="6" priority="11" rank="1"/>
  </conditionalFormatting>
  <conditionalFormatting sqref="F18:F21">
    <cfRule type="top10" dxfId="5" priority="4" bottom="1" rank="1"/>
    <cfRule type="top10" dxfId="4" priority="10" rank="1"/>
  </conditionalFormatting>
  <conditionalFormatting sqref="G18:G21">
    <cfRule type="top10" dxfId="3" priority="1" bottom="1" rank="1"/>
    <cfRule type="top10" dxfId="2" priority="2" rank="1"/>
    <cfRule type="top10" dxfId="1" priority="3" bottom="1" rank="1"/>
    <cfRule type="top10" dxfId="0" priority="9" rank="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vt:lpstr>
      <vt:lpstr>Weights</vt:lpstr>
      <vt:lpstr>Public Transport</vt:lpstr>
      <vt:lpstr>Parking</vt:lpstr>
      <vt:lpstr>Warehouse</vt:lpstr>
      <vt:lpstr>Security</vt:lpstr>
      <vt:lpstr>Cost</vt:lpstr>
      <vt:lpstr>Results</vt:lpstr>
      <vt:lpstr>TOPSIS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2022-06-11T00:09:54Z</dcterms:modified>
</cp:coreProperties>
</file>